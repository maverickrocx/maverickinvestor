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" sheetId="1" state="visible" r:id="rId3"/>
    <sheet name="Dashboard" sheetId="2" state="visible" r:id="rId4"/>
    <sheet name="Control" sheetId="3" state="visible" r:id="rId5"/>
    <sheet name="Tickers" sheetId="4" state="visible" r:id="rId6"/>
    <sheet name="PriceMetrics" sheetId="5" state="visible" r:id="rId7"/>
    <sheet name="Fundamentals" sheetId="6" state="visible" r:id="rId8"/>
    <sheet name="Macro" sheetId="7" state="visible" r:id="rId9"/>
    <sheet name="Scoring" sheetId="8" state="visible" r:id="rId10"/>
    <sheet name="Recommenda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<sst xmlns="http://schemas.openxmlformats.org/spreadsheetml/2006/main" count="770" uniqueCount="472">
  <si>
    <t xml:space="preserve">MIDCAP-SMALLCAP EQUITY SCREENER  |  Nifty Midcap 50 + Nifty Smallcap 100 (Top 50 by Market Cap)</t>
  </si>
  <si>
    <t xml:space="preserve">ONE-TIME SETUP - EXCEL FOR MAC (Microsoft 365)</t>
  </si>
  <si>
    <t xml:space="preserve">1. In Finder press Shift+Cmd+G and go to:  ~/Library/Application Scripts/com.microsoft.Excel/</t>
  </si>
  <si>
    <t xml:space="preserve">   (If 'Application Scripts' or 'com.microsoft.Excel' folders don't exist, create them with exactly those names.)</t>
  </si>
  <si>
    <t xml:space="preserve">2. Copy 'YahooFetch.applescript' into that folder. This lets Excel call curl for web data - Mac VBA has no</t>
  </si>
  <si>
    <t xml:space="preserve">   built-in HTTP, and curl also handles Yahoo's cookie handshake for fundamentals natively.</t>
  </si>
  <si>
    <t xml:space="preserve">3. In Excel: Tools &gt; Macro &gt; Visual Basic Editor. Then File &gt; Import File... and select 'ScreenerEngine.bas'.</t>
  </si>
  <si>
    <t xml:space="preserve">4. Close the VBA editor. File &gt; Save As &gt; format 'Excel Macro-Enabled Workbook (.xlsm)'.</t>
  </si>
  <si>
    <t xml:space="preserve">5. Tools &gt; Macro &gt; Macros... &gt; select 'RefreshAllData' &gt; Run. First refresh takes ~5-8 min (300 throttled calls).</t>
  </si>
  <si>
    <t xml:space="preserve">   If macros were disabled on reopen: Excel menu &gt; Preferences &gt; Security &gt; enable macros with notification.</t>
  </si>
  <si>
    <t xml:space="preserve">EVERY REFRESH AFTER THAT</t>
  </si>
  <si>
    <t xml:space="preserve">Tools &gt; Macro &gt; Macros... &gt; RefreshAllData &gt; Run (or Option+F8). Prices, fundamentals, Nifty trend and India</t>
  </si>
  <si>
    <t xml:space="preserve">VIX update automatically. Update the 4 manual macro inputs on the 'Macro' sheet monthly (RBI, MoSPI, NSDL).</t>
  </si>
  <si>
    <t xml:space="preserve">HOW THE ENGINE WORKS</t>
  </si>
  <si>
    <t xml:space="preserve">Universe: all 50 midcaps + the top 50 of the Smallcap 100 ranked by live market cap (self-maintains each refresh).</t>
  </si>
  <si>
    <t xml:space="preserve">Composite score = 40% Fundamentals + 40% Technicals + 20% Macro regime (weights editable on 'Control').</t>
  </si>
  <si>
    <t xml:space="preserve">Each metric is scored 0-100 as a percentile rank vs the 100-stock universe, so scores are always relative.</t>
  </si>
  <si>
    <t xml:space="preserve">Verdicts: BUY / ACCUMULATE / HOLD / AVOID. In a Risk-Off macro regime, smallcap names are automatically</t>
  </si>
  <si>
    <t xml:space="preserve">penalised by 8 composite points before the verdict bands apply (smallcap drawdowns run 1.5-2x midcaps).</t>
  </si>
  <si>
    <t xml:space="preserve">DATA SOURCES</t>
  </si>
  <si>
    <t xml:space="preserve">Index constituents: NSE archives (nsearchives.nseindia.com) as of 12-Jun-2026. Prices &amp; fundamentals: Yahoo</t>
  </si>
  <si>
    <t xml:space="preserve">Finance API (NSE blocks automated pulls). Macro inputs: RBI (rbi.org.in), MoSPI (mospi.gov.in), NSDL FPI</t>
  </si>
  <si>
    <t xml:space="preserve">monitor (fpi.nsdl.co.in), NSE India VIX. Re-download constituent lists after each March/September rebalance.</t>
  </si>
  <si>
    <t xml:space="preserve">TROUBLESHOOTING (MAC)</t>
  </si>
  <si>
    <t xml:space="preserve">'YahooFetch.applescript not found' - the script is not in the exact folder from step 1; recheck the path.</t>
  </si>
  <si>
    <t xml:space="preserve">All Fundamentals rows show FAIL but prices OK - Yahoo crumb handshake failed; run RefreshAllData again.</t>
  </si>
  <si>
    <t xml:space="preserve">A handful of FAILs only - normal (ticker changes/suspensions); note the symbols and we will map them.</t>
  </si>
  <si>
    <t xml:space="preserve">IMPORTANT DISCLAIMERS</t>
  </si>
  <si>
    <t xml:space="preserve">This is a screening and ranking tool, not investment advice. Scores are relative to the universe, not absolute</t>
  </si>
  <si>
    <t xml:space="preserve">quality. Always verify fundamentals from primary filings before acting. Position-size suggestions follow your</t>
  </si>
  <si>
    <t xml:space="preserve">2-3% per stock / 10% combined direct-equity ceiling. STCG 20% / LTCG 12.5% above Rs 1.25L applies on sales.</t>
  </si>
  <si>
    <t xml:space="preserve">MIDCAP-SMALLCAP SCREENER DASHBOARD</t>
  </si>
  <si>
    <t xml:space="preserve">Macro regime</t>
  </si>
  <si>
    <t xml:space="preserve">TOP 12 BY COMPOSITE SCORE</t>
  </si>
  <si>
    <t xml:space="preserve">Regime score</t>
  </si>
  <si>
    <t xml:space="preserve">Symbol</t>
  </si>
  <si>
    <t xml:space="preserve">Company</t>
  </si>
  <si>
    <t xml:space="preserve">Composite</t>
  </si>
  <si>
    <t xml:space="preserve">Verdict</t>
  </si>
  <si>
    <t xml:space="preserve">Conviction</t>
  </si>
  <si>
    <t xml:space="preserve">Key Risk</t>
  </si>
  <si>
    <t xml:space="preserve">Verdict counts</t>
  </si>
  <si>
    <t xml:space="preserve">BUY</t>
  </si>
  <si>
    <t xml:space="preserve">ACCUMULATE</t>
  </si>
  <si>
    <t xml:space="preserve">HOLD</t>
  </si>
  <si>
    <t xml:space="preserve">AVOID</t>
  </si>
  <si>
    <t xml:space="preserve">In-universe stocks</t>
  </si>
  <si>
    <t xml:space="preserve">Workflow: Alt+F8 &gt; RefreshAllData. Then review Recommendations sheet. Update Macro inputs monthly.</t>
  </si>
  <si>
    <t xml:space="preserve">CONTROL PANEL - all blue cells are editable inputs</t>
  </si>
  <si>
    <t xml:space="preserve">Weight: Fundamentals</t>
  </si>
  <si>
    <t xml:space="preserve">Must sum to 100% with the two below</t>
  </si>
  <si>
    <t xml:space="preserve">Weight: Technicals</t>
  </si>
  <si>
    <t xml:space="preserve">Weight: Macro regime</t>
  </si>
  <si>
    <t xml:space="preserve">BUY threshold (composite &gt;=)</t>
  </si>
  <si>
    <t xml:space="preserve">Composite is 0-100</t>
  </si>
  <si>
    <t xml:space="preserve">ACCUMULATE threshold (&gt;=)</t>
  </si>
  <si>
    <t xml:space="preserve">HOLD threshold (&gt;=)</t>
  </si>
  <si>
    <t xml:space="preserve">Below this = AVOID</t>
  </si>
  <si>
    <t xml:space="preserve">Risk-Off smallcap penalty (pts)</t>
  </si>
  <si>
    <t xml:space="preserve">Subtracted from smallcap composite when macro regime &lt; 40</t>
  </si>
  <si>
    <t xml:space="preserve">Position size: BUY</t>
  </si>
  <si>
    <t xml:space="preserve">Of total portfolio, per your 2-3% rule</t>
  </si>
  <si>
    <t xml:space="preserve">Position size: ACCUMULATE</t>
  </si>
  <si>
    <t xml:space="preserve">10% combined direct-equity ceiling applies</t>
  </si>
  <si>
    <t xml:space="preserve">Weight check (must equal 100%)</t>
  </si>
  <si>
    <t xml:space="preserve">Company Name</t>
  </si>
  <si>
    <t xml:space="preserve">Industry</t>
  </si>
  <si>
    <t xml:space="preserve">Index Bucket</t>
  </si>
  <si>
    <t xml:space="preserve">Yahoo Ticker</t>
  </si>
  <si>
    <t xml:space="preserve">In Universe</t>
  </si>
  <si>
    <t xml:space="preserve">APLAPOLLO</t>
  </si>
  <si>
    <t xml:space="preserve">APL Apollo Tubes Ltd.</t>
  </si>
  <si>
    <t xml:space="preserve">Capital Goods</t>
  </si>
  <si>
    <t xml:space="preserve">MIDCAP50</t>
  </si>
  <si>
    <t xml:space="preserve">AUBANK</t>
  </si>
  <si>
    <t xml:space="preserve">AU Small Finance Bank Ltd.</t>
  </si>
  <si>
    <t xml:space="preserve">Financial Services</t>
  </si>
  <si>
    <t xml:space="preserve">ALKEM</t>
  </si>
  <si>
    <t xml:space="preserve">Alkem Laboratories Ltd.</t>
  </si>
  <si>
    <t xml:space="preserve">Healthcare</t>
  </si>
  <si>
    <t xml:space="preserve">ASHOKLEY</t>
  </si>
  <si>
    <t xml:space="preserve">Ashok Leyland Ltd.</t>
  </si>
  <si>
    <t xml:space="preserve">AUROPHARMA</t>
  </si>
  <si>
    <t xml:space="preserve">Aurobindo Pharma Ltd.</t>
  </si>
  <si>
    <t xml:space="preserve">BSE</t>
  </si>
  <si>
    <t xml:space="preserve">BSE Ltd.</t>
  </si>
  <si>
    <t xml:space="preserve">BHARATFORG</t>
  </si>
  <si>
    <t xml:space="preserve">Bharat Forge Ltd.</t>
  </si>
  <si>
    <t xml:space="preserve">Automobile and Auto Components</t>
  </si>
  <si>
    <t xml:space="preserve">BHEL</t>
  </si>
  <si>
    <t xml:space="preserve">Bharat Heavy Electricals Ltd.</t>
  </si>
  <si>
    <t xml:space="preserve">COFORGE</t>
  </si>
  <si>
    <t xml:space="preserve">Coforge Ltd.</t>
  </si>
  <si>
    <t xml:space="preserve">Information Technology</t>
  </si>
  <si>
    <t xml:space="preserve">COLPAL</t>
  </si>
  <si>
    <t xml:space="preserve">Colgate Palmolive (India) Ltd.</t>
  </si>
  <si>
    <t xml:space="preserve">Fast Moving Consumer Goods</t>
  </si>
  <si>
    <t xml:space="preserve">DABUR</t>
  </si>
  <si>
    <t xml:space="preserve">Dabur India Ltd.</t>
  </si>
  <si>
    <t xml:space="preserve">DIXON</t>
  </si>
  <si>
    <t xml:space="preserve">Dixon Technologies (India) Ltd.</t>
  </si>
  <si>
    <t xml:space="preserve">Consumer Durables</t>
  </si>
  <si>
    <t xml:space="preserve">NYKAA</t>
  </si>
  <si>
    <t xml:space="preserve">FSN E-Commerce Ventures Ltd.</t>
  </si>
  <si>
    <t xml:space="preserve">Consumer Services</t>
  </si>
  <si>
    <t xml:space="preserve">FEDERALBNK</t>
  </si>
  <si>
    <t xml:space="preserve">Federal Bank Ltd.</t>
  </si>
  <si>
    <t xml:space="preserve">FORTIS</t>
  </si>
  <si>
    <t xml:space="preserve">Fortis Healthcare Ltd.</t>
  </si>
  <si>
    <t xml:space="preserve">GMRAIRPORT</t>
  </si>
  <si>
    <t xml:space="preserve">GMR Airports Ltd.</t>
  </si>
  <si>
    <t xml:space="preserve">Services</t>
  </si>
  <si>
    <t xml:space="preserve">GODREJPROP</t>
  </si>
  <si>
    <t xml:space="preserve">Godrej Properties Ltd.</t>
  </si>
  <si>
    <t xml:space="preserve">Realty</t>
  </si>
  <si>
    <t xml:space="preserve">HAVELLS</t>
  </si>
  <si>
    <t xml:space="preserve">Havells India Ltd.</t>
  </si>
  <si>
    <t xml:space="preserve">HEROMOTOCO</t>
  </si>
  <si>
    <t xml:space="preserve">Hero MotoCorp Ltd.</t>
  </si>
  <si>
    <t xml:space="preserve">HINDPETRO</t>
  </si>
  <si>
    <t xml:space="preserve">Hindustan Petroleum Corporation Ltd.</t>
  </si>
  <si>
    <t xml:space="preserve">Oil Gas &amp; Consumable Fuels</t>
  </si>
  <si>
    <t xml:space="preserve">ICICIGI</t>
  </si>
  <si>
    <t xml:space="preserve">ICICI Lombard General Insurance Company Ltd.</t>
  </si>
  <si>
    <t xml:space="preserve">IDFCFIRSTB</t>
  </si>
  <si>
    <t xml:space="preserve">IDFC First Bank Ltd.</t>
  </si>
  <si>
    <t xml:space="preserve">INDUSTOWER</t>
  </si>
  <si>
    <t xml:space="preserve">Indus Towers Ltd.</t>
  </si>
  <si>
    <t xml:space="preserve">Telecommunication</t>
  </si>
  <si>
    <t xml:space="preserve">INDUSINDBK</t>
  </si>
  <si>
    <t xml:space="preserve">IndusInd Bank Ltd.</t>
  </si>
  <si>
    <t xml:space="preserve">NAUKRI</t>
  </si>
  <si>
    <t xml:space="preserve">Info Edge (India) Ltd.</t>
  </si>
  <si>
    <t xml:space="preserve">LAURUSLABS</t>
  </si>
  <si>
    <t xml:space="preserve">Laurus Labs Ltd.</t>
  </si>
  <si>
    <t xml:space="preserve">LUPIN</t>
  </si>
  <si>
    <t xml:space="preserve">Lupin Ltd.</t>
  </si>
  <si>
    <t xml:space="preserve">MANKIND</t>
  </si>
  <si>
    <t xml:space="preserve">Mankind Pharma Ltd.</t>
  </si>
  <si>
    <t xml:space="preserve">MARICO</t>
  </si>
  <si>
    <t xml:space="preserve">Marico Ltd.</t>
  </si>
  <si>
    <t xml:space="preserve">MFSL</t>
  </si>
  <si>
    <t xml:space="preserve">Max Financial Services Ltd.</t>
  </si>
  <si>
    <t xml:space="preserve">MPHASIS</t>
  </si>
  <si>
    <t xml:space="preserve">MphasiS Ltd.</t>
  </si>
  <si>
    <t xml:space="preserve">MCX</t>
  </si>
  <si>
    <t xml:space="preserve">Multi Commodity Exchange of India Ltd.</t>
  </si>
  <si>
    <t xml:space="preserve">NHPC</t>
  </si>
  <si>
    <t xml:space="preserve">NHPC Ltd.</t>
  </si>
  <si>
    <t xml:space="preserve">Power</t>
  </si>
  <si>
    <t xml:space="preserve">NMDC</t>
  </si>
  <si>
    <t xml:space="preserve">NMDC Ltd.</t>
  </si>
  <si>
    <t xml:space="preserve">Metals &amp; Mining</t>
  </si>
  <si>
    <t xml:space="preserve">OIL</t>
  </si>
  <si>
    <t xml:space="preserve">Oil India Ltd.</t>
  </si>
  <si>
    <t xml:space="preserve">PAYTM</t>
  </si>
  <si>
    <t xml:space="preserve">One 97 Communications Ltd.</t>
  </si>
  <si>
    <t xml:space="preserve">POLICYBZR</t>
  </si>
  <si>
    <t xml:space="preserve">PB Fintech Ltd.</t>
  </si>
  <si>
    <t xml:space="preserve">PERSISTENT</t>
  </si>
  <si>
    <t xml:space="preserve">Persistent Systems Ltd.</t>
  </si>
  <si>
    <t xml:space="preserve">PHOENIXLTD</t>
  </si>
  <si>
    <t xml:space="preserve">Phoenix Mills Ltd.</t>
  </si>
  <si>
    <t xml:space="preserve">POLYCAB</t>
  </si>
  <si>
    <t xml:space="preserve">Polycab India Ltd.</t>
  </si>
  <si>
    <t xml:space="preserve">PRESTIGE</t>
  </si>
  <si>
    <t xml:space="preserve">Prestige Estates Projects Ltd.</t>
  </si>
  <si>
    <t xml:space="preserve">SBICARD</t>
  </si>
  <si>
    <t xml:space="preserve">SBI Cards and Payment Services Ltd.</t>
  </si>
  <si>
    <t xml:space="preserve">SRF</t>
  </si>
  <si>
    <t xml:space="preserve">SRF Ltd.</t>
  </si>
  <si>
    <t xml:space="preserve">Chemicals</t>
  </si>
  <si>
    <t xml:space="preserve">SUPREMEIND</t>
  </si>
  <si>
    <t xml:space="preserve">Supreme Industries Ltd.</t>
  </si>
  <si>
    <t xml:space="preserve">SUZLON</t>
  </si>
  <si>
    <t xml:space="preserve">Suzlon Energy Ltd.</t>
  </si>
  <si>
    <t xml:space="preserve">SWIGGY</t>
  </si>
  <si>
    <t xml:space="preserve">Swiggy Ltd.</t>
  </si>
  <si>
    <t xml:space="preserve">TIINDIA</t>
  </si>
  <si>
    <t xml:space="preserve">Tube Investments of India Ltd.</t>
  </si>
  <si>
    <t xml:space="preserve">UPL</t>
  </si>
  <si>
    <t xml:space="preserve">UPL Ltd.</t>
  </si>
  <si>
    <t xml:space="preserve">WAAREEENER</t>
  </si>
  <si>
    <t xml:space="preserve">Waaree Energies Ltd.</t>
  </si>
  <si>
    <t xml:space="preserve">YESBANK</t>
  </si>
  <si>
    <t xml:space="preserve">Yes Bank Ltd.</t>
  </si>
  <si>
    <t xml:space="preserve">AARTIIND</t>
  </si>
  <si>
    <t xml:space="preserve">Aarti Industries Ltd.</t>
  </si>
  <si>
    <t xml:space="preserve">SMALLCAP100</t>
  </si>
  <si>
    <t xml:space="preserve">ABREL</t>
  </si>
  <si>
    <t xml:space="preserve">Aditya Birla Real Estate Ltd.</t>
  </si>
  <si>
    <t xml:space="preserve">AEGISLOG</t>
  </si>
  <si>
    <t xml:space="preserve">Aegis Logistics Ltd.</t>
  </si>
  <si>
    <t xml:space="preserve">AFCONS</t>
  </si>
  <si>
    <t xml:space="preserve">Afcons Infrastructure Ltd.</t>
  </si>
  <si>
    <t xml:space="preserve">Construction</t>
  </si>
  <si>
    <t xml:space="preserve">AFFLE</t>
  </si>
  <si>
    <t xml:space="preserve">Affle 3i Ltd.</t>
  </si>
  <si>
    <t xml:space="preserve">ARE&amp;M</t>
  </si>
  <si>
    <t xml:space="preserve">Amara Raja Energy &amp; Mobility Ltd.</t>
  </si>
  <si>
    <t xml:space="preserve">AMBER</t>
  </si>
  <si>
    <t xml:space="preserve">Amber Enterprises India Ltd.</t>
  </si>
  <si>
    <t xml:space="preserve">ANANDRATHI</t>
  </si>
  <si>
    <t xml:space="preserve">Anand Rathi Wealth Ltd.</t>
  </si>
  <si>
    <t xml:space="preserve">ANANTRAJ</t>
  </si>
  <si>
    <t xml:space="preserve">Anant Raj Ltd.</t>
  </si>
  <si>
    <t xml:space="preserve">ANGELONE</t>
  </si>
  <si>
    <t xml:space="preserve">Angel One Ltd.</t>
  </si>
  <si>
    <t xml:space="preserve">APTUS</t>
  </si>
  <si>
    <t xml:space="preserve">Aptus Value Housing Finance India Ltd.</t>
  </si>
  <si>
    <t xml:space="preserve">ASTERDM</t>
  </si>
  <si>
    <t xml:space="preserve">Aster DM Healthcare Ltd.</t>
  </si>
  <si>
    <t xml:space="preserve">ATHERENERG</t>
  </si>
  <si>
    <t xml:space="preserve">Ather Energy Ltd.</t>
  </si>
  <si>
    <t xml:space="preserve">BEML</t>
  </si>
  <si>
    <t xml:space="preserve">BEML Ltd.</t>
  </si>
  <si>
    <t xml:space="preserve">BLS</t>
  </si>
  <si>
    <t xml:space="preserve">BLS International Services Ltd.</t>
  </si>
  <si>
    <t xml:space="preserve">BANDHANBNK</t>
  </si>
  <si>
    <t xml:space="preserve">Bandhan Bank Ltd.</t>
  </si>
  <si>
    <t xml:space="preserve">FIRSTCRY</t>
  </si>
  <si>
    <t xml:space="preserve">Brainbees Solutions Ltd.</t>
  </si>
  <si>
    <t xml:space="preserve">BRIGADE</t>
  </si>
  <si>
    <t xml:space="preserve">Brigade Enterprises Ltd.</t>
  </si>
  <si>
    <t xml:space="preserve">CESC</t>
  </si>
  <si>
    <t xml:space="preserve">CESC Ltd.</t>
  </si>
  <si>
    <t xml:space="preserve">CGCL</t>
  </si>
  <si>
    <t xml:space="preserve">Capri Global Capital Ltd.</t>
  </si>
  <si>
    <t xml:space="preserve">CASTROLIND</t>
  </si>
  <si>
    <t xml:space="preserve">Castrol India Ltd.</t>
  </si>
  <si>
    <t xml:space="preserve">CDSL</t>
  </si>
  <si>
    <t xml:space="preserve">Central Depository Services (India) Ltd.</t>
  </si>
  <si>
    <t xml:space="preserve">CHAMBLFERT</t>
  </si>
  <si>
    <t xml:space="preserve">Chambal Fertilizers &amp; Chemicals Ltd.</t>
  </si>
  <si>
    <t xml:space="preserve">CHOLAHLDNG</t>
  </si>
  <si>
    <t xml:space="preserve">Cholamandalam Financial Holdings Ltd.</t>
  </si>
  <si>
    <t xml:space="preserve">CUB</t>
  </si>
  <si>
    <t xml:space="preserve">City Union Bank Ltd.</t>
  </si>
  <si>
    <t xml:space="preserve">COHANCE</t>
  </si>
  <si>
    <t xml:space="preserve">Cohance Lifesciences Ltd.</t>
  </si>
  <si>
    <t xml:space="preserve">CAMS</t>
  </si>
  <si>
    <t xml:space="preserve">Computer Age Management Services Ltd.</t>
  </si>
  <si>
    <t xml:space="preserve">CREDITACC</t>
  </si>
  <si>
    <t xml:space="preserve">CreditAccess Grameen Ltd.</t>
  </si>
  <si>
    <t xml:space="preserve">CROMPTON</t>
  </si>
  <si>
    <t xml:space="preserve">Crompton Greaves Consumer Electricals Ltd.</t>
  </si>
  <si>
    <t xml:space="preserve">DATAPATTNS</t>
  </si>
  <si>
    <t xml:space="preserve">Data Patterns (India) Ltd.</t>
  </si>
  <si>
    <t xml:space="preserve">DEEPAKFERT</t>
  </si>
  <si>
    <t xml:space="preserve">Deepak Fertilisers &amp; Petrochemicals Corp. Ltd.</t>
  </si>
  <si>
    <t xml:space="preserve">DELHIVERY</t>
  </si>
  <si>
    <t xml:space="preserve">Delhivery Ltd.</t>
  </si>
  <si>
    <t xml:space="preserve">DEVYANI</t>
  </si>
  <si>
    <t xml:space="preserve">Devyani International Ltd.</t>
  </si>
  <si>
    <t xml:space="preserve">LALPATHLAB</t>
  </si>
  <si>
    <t xml:space="preserve">Dr. Lal Path Labs Ltd.</t>
  </si>
  <si>
    <t xml:space="preserve">FSL</t>
  </si>
  <si>
    <t xml:space="preserve">Firstsource Solutions Ltd.</t>
  </si>
  <si>
    <t xml:space="preserve">FIVESTAR</t>
  </si>
  <si>
    <t xml:space="preserve">Five-Star Business Finance Ltd.</t>
  </si>
  <si>
    <t xml:space="preserve">FORCEMOT</t>
  </si>
  <si>
    <t xml:space="preserve">Force Motors Ltd.</t>
  </si>
  <si>
    <t xml:space="preserve">GRSE</t>
  </si>
  <si>
    <t xml:space="preserve">Garden Reach Shipbuilders &amp; Engineers Ltd.</t>
  </si>
  <si>
    <t xml:space="preserve">GLAND</t>
  </si>
  <si>
    <t xml:space="preserve">Gland Pharma Ltd.</t>
  </si>
  <si>
    <t xml:space="preserve">GPIL</t>
  </si>
  <si>
    <t xml:space="preserve">Godawari Power &amp; Ispat Ltd.</t>
  </si>
  <si>
    <t xml:space="preserve">GESHIP</t>
  </si>
  <si>
    <t xml:space="preserve">Great Eastern Shipping Co. Ltd.</t>
  </si>
  <si>
    <t xml:space="preserve">GMDCLTD</t>
  </si>
  <si>
    <t xml:space="preserve">Gujarat Mineral Development Corporation Ltd.</t>
  </si>
  <si>
    <t xml:space="preserve">HBLENGINE</t>
  </si>
  <si>
    <t xml:space="preserve">HBL Engineering Ltd.</t>
  </si>
  <si>
    <t xml:space="preserve">HSCL</t>
  </si>
  <si>
    <t xml:space="preserve">Himadri Speciality Chemical Ltd.</t>
  </si>
  <si>
    <t xml:space="preserve">HINDCOPPER</t>
  </si>
  <si>
    <t xml:space="preserve">Hindustan Copper Ltd.</t>
  </si>
  <si>
    <t xml:space="preserve">IDBI</t>
  </si>
  <si>
    <t xml:space="preserve">IDBI Bank Ltd.</t>
  </si>
  <si>
    <t xml:space="preserve">IFCI</t>
  </si>
  <si>
    <t xml:space="preserve">IFCI Ltd.</t>
  </si>
  <si>
    <t xml:space="preserve">IIFL</t>
  </si>
  <si>
    <t xml:space="preserve">IIFL Finance Ltd.</t>
  </si>
  <si>
    <t xml:space="preserve">IRCON</t>
  </si>
  <si>
    <t xml:space="preserve">IRCON International Ltd.</t>
  </si>
  <si>
    <t xml:space="preserve">ITI</t>
  </si>
  <si>
    <t xml:space="preserve">ITI Ltd.</t>
  </si>
  <si>
    <t xml:space="preserve">IGL</t>
  </si>
  <si>
    <t xml:space="preserve">Indraprastha Gas Ltd.</t>
  </si>
  <si>
    <t xml:space="preserve">INOXWIND</t>
  </si>
  <si>
    <t xml:space="preserve">Inox Wind Ltd.</t>
  </si>
  <si>
    <t xml:space="preserve">IKS</t>
  </si>
  <si>
    <t xml:space="preserve">Inventurus Knowledge Solutions Ltd.</t>
  </si>
  <si>
    <t xml:space="preserve">JBMA</t>
  </si>
  <si>
    <t xml:space="preserve">JBM Auto Ltd.</t>
  </si>
  <si>
    <t xml:space="preserve">JMFINANCIL</t>
  </si>
  <si>
    <t xml:space="preserve">JM Financial Ltd.</t>
  </si>
  <si>
    <t xml:space="preserve">JSWCEMENT</t>
  </si>
  <si>
    <t xml:space="preserve">JSW Cement Ltd.</t>
  </si>
  <si>
    <t xml:space="preserve">Construction Materials</t>
  </si>
  <si>
    <t xml:space="preserve">JYOTICNC</t>
  </si>
  <si>
    <t xml:space="preserve">Jyoti CNC Automation Ltd.</t>
  </si>
  <si>
    <t xml:space="preserve">KARURVYSYA</t>
  </si>
  <si>
    <t xml:space="preserve">Karur Vysya Bank Ltd.</t>
  </si>
  <si>
    <t xml:space="preserve">KAYNES</t>
  </si>
  <si>
    <t xml:space="preserve">Kaynes Technology India Ltd.</t>
  </si>
  <si>
    <t xml:space="preserve">KEC</t>
  </si>
  <si>
    <t xml:space="preserve">Kec International Ltd.</t>
  </si>
  <si>
    <t xml:space="preserve">KFINTECH</t>
  </si>
  <si>
    <t xml:space="preserve">Kfin Technologies Ltd.</t>
  </si>
  <si>
    <t xml:space="preserve">MANAPPURAM</t>
  </si>
  <si>
    <t xml:space="preserve">Manappuram Finance Ltd.</t>
  </si>
  <si>
    <t xml:space="preserve">MRPL</t>
  </si>
  <si>
    <t xml:space="preserve">Mangalore Refinery &amp; Petrochemicals Ltd.</t>
  </si>
  <si>
    <t xml:space="preserve">MEESHO</t>
  </si>
  <si>
    <t xml:space="preserve">Meesho Ltd.</t>
  </si>
  <si>
    <t xml:space="preserve">NATCOPHARM</t>
  </si>
  <si>
    <t xml:space="preserve">NATCO Pharma Ltd.</t>
  </si>
  <si>
    <t xml:space="preserve">NBCC</t>
  </si>
  <si>
    <t xml:space="preserve">NBCC (India) Ltd.</t>
  </si>
  <si>
    <t xml:space="preserve">NH</t>
  </si>
  <si>
    <t xml:space="preserve">Narayana Hrudayalaya Ltd.</t>
  </si>
  <si>
    <t xml:space="preserve">NAVINFLUOR</t>
  </si>
  <si>
    <t xml:space="preserve">Navin Fluorine International Ltd.</t>
  </si>
  <si>
    <t xml:space="preserve">NETWEB</t>
  </si>
  <si>
    <t xml:space="preserve">Netweb Technologies India Ltd.</t>
  </si>
  <si>
    <t xml:space="preserve">NEULANDLAB</t>
  </si>
  <si>
    <t xml:space="preserve">Neuland Laboratories Ltd.</t>
  </si>
  <si>
    <t xml:space="preserve">NUVAMA</t>
  </si>
  <si>
    <t xml:space="preserve">Nuvama Wealth Management Ltd.</t>
  </si>
  <si>
    <t xml:space="preserve">OLAELEC</t>
  </si>
  <si>
    <t xml:space="preserve">Ola Electric Mobility Ltd.</t>
  </si>
  <si>
    <t xml:space="preserve">PGEL</t>
  </si>
  <si>
    <t xml:space="preserve">PG Electroplast Ltd.</t>
  </si>
  <si>
    <t xml:space="preserve">PNBHOUSING</t>
  </si>
  <si>
    <t xml:space="preserve">PNB Housing Finance Ltd.</t>
  </si>
  <si>
    <t xml:space="preserve">PWL</t>
  </si>
  <si>
    <t xml:space="preserve">Physicswallah Ltd.</t>
  </si>
  <si>
    <t xml:space="preserve">PINELABS</t>
  </si>
  <si>
    <t xml:space="preserve">Pine Labs Ltd.</t>
  </si>
  <si>
    <t xml:space="preserve">PIRAMALFIN</t>
  </si>
  <si>
    <t xml:space="preserve">Piramal Finance Ltd.</t>
  </si>
  <si>
    <t xml:space="preserve">PPLPHARMA</t>
  </si>
  <si>
    <t xml:space="preserve">Piramal Pharma Ltd.</t>
  </si>
  <si>
    <t xml:space="preserve">POONAWALLA</t>
  </si>
  <si>
    <t xml:space="preserve">Poonawalla Fincorp Ltd.</t>
  </si>
  <si>
    <t xml:space="preserve">RBLBANK</t>
  </si>
  <si>
    <t xml:space="preserve">RBL Bank Ltd.</t>
  </si>
  <si>
    <t xml:space="preserve">REDINGTON</t>
  </si>
  <si>
    <t xml:space="preserve">Redington Ltd.</t>
  </si>
  <si>
    <t xml:space="preserve">RPOWER</t>
  </si>
  <si>
    <t xml:space="preserve">Reliance Power Ltd.</t>
  </si>
  <si>
    <t xml:space="preserve">SAGILITY</t>
  </si>
  <si>
    <t xml:space="preserve">Sagility Ltd.</t>
  </si>
  <si>
    <t xml:space="preserve">SAILIFE</t>
  </si>
  <si>
    <t xml:space="preserve">Sai Life Sciences Ltd.</t>
  </si>
  <si>
    <t xml:space="preserve">SARDAEN</t>
  </si>
  <si>
    <t xml:space="preserve">Sarda Energy and Minerals Ltd.</t>
  </si>
  <si>
    <t xml:space="preserve">SIGNATURE</t>
  </si>
  <si>
    <t xml:space="preserve">Signatureglobal (India) Ltd.</t>
  </si>
  <si>
    <t xml:space="preserve">SONACOMS</t>
  </si>
  <si>
    <t xml:space="preserve">Sona BLW Precision Forgings Ltd.</t>
  </si>
  <si>
    <t xml:space="preserve">STARHEALTH</t>
  </si>
  <si>
    <t xml:space="preserve">Star Health and Allied Insurance Company Ltd.</t>
  </si>
  <si>
    <t xml:space="preserve">SWANCORP</t>
  </si>
  <si>
    <t xml:space="preserve">Swan Corp Ltd.</t>
  </si>
  <si>
    <t xml:space="preserve">SYNGENE</t>
  </si>
  <si>
    <t xml:space="preserve">Syngene International Ltd.</t>
  </si>
  <si>
    <t xml:space="preserve">TATACHEM</t>
  </si>
  <si>
    <t xml:space="preserve">Tata Chemicals Ltd.</t>
  </si>
  <si>
    <t xml:space="preserve">TATATECH</t>
  </si>
  <si>
    <t xml:space="preserve">Tata Technologies Ltd.</t>
  </si>
  <si>
    <t xml:space="preserve">TENNIND</t>
  </si>
  <si>
    <t xml:space="preserve">Tenneco Clean Air India Ltd.</t>
  </si>
  <si>
    <t xml:space="preserve">RAMCOCEM</t>
  </si>
  <si>
    <t xml:space="preserve">The Ramco Cements Ltd.</t>
  </si>
  <si>
    <t xml:space="preserve">TRITURBINE</t>
  </si>
  <si>
    <t xml:space="preserve">Triveni Turbine Ltd.</t>
  </si>
  <si>
    <t xml:space="preserve">URBANCO</t>
  </si>
  <si>
    <t xml:space="preserve">Urban Company Ltd.</t>
  </si>
  <si>
    <t xml:space="preserve">WELCORP</t>
  </si>
  <si>
    <t xml:space="preserve">Welspun Corp Ltd.</t>
  </si>
  <si>
    <t xml:space="preserve">WHIRLPOOL</t>
  </si>
  <si>
    <t xml:space="preserve">Whirlpool of India Ltd.</t>
  </si>
  <si>
    <t xml:space="preserve">WOCKPHARMA</t>
  </si>
  <si>
    <t xml:space="preserve">Wockhardt Ltd.</t>
  </si>
  <si>
    <t xml:space="preserve">ZENSARTECH</t>
  </si>
  <si>
    <t xml:space="preserve">Zensar Technolgies Ltd.</t>
  </si>
  <si>
    <t xml:space="preserve">Last Price (Rs)</t>
  </si>
  <si>
    <t xml:space="preserve">3Y CAGR</t>
  </si>
  <si>
    <t xml:space="preserve">1Y Return</t>
  </si>
  <si>
    <t xml:space="preserve">6M Return</t>
  </si>
  <si>
    <t xml:space="preserve">Ann. Volatility</t>
  </si>
  <si>
    <t xml:space="preserve">Max Drawdown 3Y</t>
  </si>
  <si>
    <t xml:space="preserve">RSI(14)</t>
  </si>
  <si>
    <t xml:space="preserve">SMA50</t>
  </si>
  <si>
    <t xml:space="preserve">SMA200</t>
  </si>
  <si>
    <t xml:space="preserve">% vs 200DMA</t>
  </si>
  <si>
    <t xml:space="preserve">MA Cross (1/-1)</t>
  </si>
  <si>
    <t xml:space="preserve">52W High</t>
  </si>
  <si>
    <t xml:space="preserve">52W Low</t>
  </si>
  <si>
    <t xml:space="preserve">% From 52W High</t>
  </si>
  <si>
    <t xml:space="preserve">Rel Strength 6M vs Nifty</t>
  </si>
  <si>
    <t xml:space="preserve">Avg Volume 3M</t>
  </si>
  <si>
    <t xml:space="preserve">Status</t>
  </si>
  <si>
    <t xml:space="preserve">Market Cap (Rs)</t>
  </si>
  <si>
    <t xml:space="preserve">Trailing P/E</t>
  </si>
  <si>
    <t xml:space="preserve">Forward P/E</t>
  </si>
  <si>
    <t xml:space="preserve">P/B</t>
  </si>
  <si>
    <t xml:space="preserve">ROE</t>
  </si>
  <si>
    <t xml:space="preserve">Debt/Equity (%)</t>
  </si>
  <si>
    <t xml:space="preserve">Revenue Growth YoY</t>
  </si>
  <si>
    <t xml:space="preserve">Earnings Growth YoY</t>
  </si>
  <si>
    <t xml:space="preserve">Net Margin</t>
  </si>
  <si>
    <t xml:space="preserve">Dividend Yield</t>
  </si>
  <si>
    <t xml:space="preserve">Beta</t>
  </si>
  <si>
    <t xml:space="preserve">Insider/Promoter Held</t>
  </si>
  <si>
    <t xml:space="preserve">MACRO REGIME - 20% of composite score</t>
  </si>
  <si>
    <t xml:space="preserve">AUTO-FETCHED (VBA writes on each refresh)</t>
  </si>
  <si>
    <t xml:space="preserve">Nifty 50 last close</t>
  </si>
  <si>
    <t xml:space="preserve">Source: Yahoo ^NSEI</t>
  </si>
  <si>
    <t xml:space="preserve">Nifty 50 200-DMA</t>
  </si>
  <si>
    <t xml:space="preserve">Source: Computed from 3Y series</t>
  </si>
  <si>
    <t xml:space="preserve">India VIX last close</t>
  </si>
  <si>
    <t xml:space="preserve">Source: Yahoo ^INDIAVIX</t>
  </si>
  <si>
    <t xml:space="preserve">AUTO SCORES (0-100, formulas)</t>
  </si>
  <si>
    <t xml:space="preserve">Trend score (Nifty vs 200-DMA)</t>
  </si>
  <si>
    <t xml:space="preserve">+/-1% vs 200DMA moves score +/-5pts; capped 0-100</t>
  </si>
  <si>
    <t xml:space="preserve">Volatility score (India VIX)</t>
  </si>
  <si>
    <t xml:space="preserve">VIX &lt;13 calm=85 | 13-17=65 | 17-22=40 | &gt;22 stress=15</t>
  </si>
  <si>
    <t xml:space="preserve">MANUAL INPUTS - update monthly (blue cells, score each 0-100)</t>
  </si>
  <si>
    <t xml:space="preserve">RBI policy stance score</t>
  </si>
  <si>
    <t xml:space="preserve">100=deep cutting cycle, 50=neutral pause, 0=aggressive hiking. Source: rbi.org.in &gt; Press Releases &gt; Monetary Policy</t>
  </si>
  <si>
    <t xml:space="preserve">Inflation score (CPI)</t>
  </si>
  <si>
    <t xml:space="preserve">CPI &lt;4%=80+, 4-6% (in band)=50-70, &gt;6% (above band)=&lt;40. Source: mospi.gov.in &gt; CPI press release</t>
  </si>
  <si>
    <t xml:space="preserve">FII flow score (3M net equity)</t>
  </si>
  <si>
    <t xml:space="preserve">Strong inflows=80+, flat=50, heavy outflows=&lt;30. Source: fpi.nsdl.co.in (FPI Monitor)</t>
  </si>
  <si>
    <t xml:space="preserve">Global cues score</t>
  </si>
  <si>
    <t xml:space="preserve">US rates easing + soft-landing=70+, stable=50, risk-off (war/oil/US recession)=&lt;35</t>
  </si>
  <si>
    <t xml:space="preserve">WEIGHTS (blue, must sum to 1)</t>
  </si>
  <si>
    <t xml:space="preserve">Wt: Trend</t>
  </si>
  <si>
    <t xml:space="preserve">Wt: VIX</t>
  </si>
  <si>
    <t xml:space="preserve">Wt: RBI</t>
  </si>
  <si>
    <t xml:space="preserve">Wt: CPI</t>
  </si>
  <si>
    <t xml:space="preserve">Wt: FII</t>
  </si>
  <si>
    <t xml:space="preserve">Wt: Global</t>
  </si>
  <si>
    <t xml:space="preserve">MACRO REGIME SCORE (0-100)</t>
  </si>
  <si>
    <t xml:space="preserve">Regime label</t>
  </si>
  <si>
    <t xml:space="preserve">RISK-OFF auto-penalises smallcap composites by the Control!B11 amount</t>
  </si>
  <si>
    <t xml:space="preserve">Score: Valuation</t>
  </si>
  <si>
    <t xml:space="preserve">Score: Quality</t>
  </si>
  <si>
    <t xml:space="preserve">Score: Growth</t>
  </si>
  <si>
    <t xml:space="preserve">Score: Leverage</t>
  </si>
  <si>
    <t xml:space="preserve">FUNDAMENTAL (40%)</t>
  </si>
  <si>
    <t xml:space="preserve">Score: Trend</t>
  </si>
  <si>
    <t xml:space="preserve">Score: Momentum</t>
  </si>
  <si>
    <t xml:space="preserve">Score: Risk-Adj</t>
  </si>
  <si>
    <t xml:space="preserve">TECHNICAL (40%)</t>
  </si>
  <si>
    <t xml:space="preserve">MACRO (20%)</t>
  </si>
  <si>
    <t xml:space="preserve">COMPOSITE</t>
  </si>
  <si>
    <t xml:space="preserve">CompAdj</t>
  </si>
  <si>
    <t xml:space="preserve">Eff. Composite</t>
  </si>
  <si>
    <t xml:space="preserve">VERDICT</t>
  </si>
  <si>
    <t xml:space="preserve">Suggested Size</t>
  </si>
  <si>
    <t xml:space="preserve">MinPillar</t>
  </si>
  <si>
    <t xml:space="preserve">RankVal</t>
  </si>
  <si>
    <t xml:space="preserve">Rank</t>
  </si>
  <si>
    <t xml:space="preserve">Bucket</t>
  </si>
  <si>
    <t xml:space="preserve">Last Price</t>
  </si>
  <si>
    <t xml:space="preserve">P/E</t>
  </si>
  <si>
    <t xml:space="preserve">Rel Str 6M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</si>
</sst>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%"/>
    <numFmt numFmtId="167" formatCode="0"/>
    <numFmt numFmtId="168" formatCode="General"/>
    <numFmt numFmtId="169" formatCode="#,##0.00"/>
    <numFmt numFmtId="170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3" t="s">
        <v>11</v>
      </c>
    </row>
    <row r="16" customFormat="false" ht="15" hidden="false" customHeight="false" outlineLevel="0" collapsed="false">
      <c r="B16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 t="s">
        <v>18</v>
      </c>
    </row>
    <row r="25" customFormat="false" ht="15" hidden="false" customHeight="false" outlineLevel="0" collapsed="false">
      <c r="B25" s="2" t="s">
        <v>19</v>
      </c>
    </row>
    <row r="26" customFormat="false" ht="15" hidden="false" customHeight="false" outlineLevel="0" collapsed="false">
      <c r="B26" s="3" t="s">
        <v>20</v>
      </c>
    </row>
    <row r="27" customFormat="false" ht="15" hidden="false" customHeight="false" outlineLevel="0" collapsed="false">
      <c r="B27" s="3" t="s">
        <v>21</v>
      </c>
    </row>
    <row r="28" customFormat="false" ht="15" hidden="false" customHeight="false" outlineLevel="0" collapsed="false">
      <c r="B28" s="3" t="s">
        <v>22</v>
      </c>
    </row>
    <row r="30" customFormat="false" ht="15" hidden="false" customHeight="false" outlineLevel="0" collapsed="false">
      <c r="B30" s="2" t="s">
        <v>23</v>
      </c>
    </row>
    <row r="31" customFormat="false" ht="15" hidden="false" customHeight="false" outlineLevel="0" collapsed="false">
      <c r="B31" s="3" t="s">
        <v>24</v>
      </c>
    </row>
    <row r="32" customFormat="false" ht="15" hidden="false" customHeight="false" outlineLevel="0" collapsed="false">
      <c r="B32" s="3" t="s">
        <v>25</v>
      </c>
    </row>
    <row r="33" customFormat="false" ht="15" hidden="false" customHeight="false" outlineLevel="0" collapsed="false">
      <c r="B33" s="3" t="s">
        <v>26</v>
      </c>
    </row>
    <row r="35" customFormat="false" ht="15" hidden="false" customHeight="false" outlineLevel="0" collapsed="false">
      <c r="B35" s="2" t="s">
        <v>27</v>
      </c>
    </row>
    <row r="36" customFormat="false" ht="15" hidden="false" customHeight="false" outlineLevel="0" collapsed="false">
      <c r="B36" s="3" t="s">
        <v>28</v>
      </c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2"/>
  </cols>
  <sheetData>
    <row r="2" customFormat="false" ht="17.35" hidden="false" customHeight="false" outlineLevel="0" collapsed="false">
      <c r="B2" s="1" t="s">
        <v>31</v>
      </c>
    </row>
    <row r="4" customFormat="false" ht="15" hidden="false" customHeight="false" outlineLevel="0" collapsed="false">
      <c r="B4" s="2" t="s">
        <v>32</v>
      </c>
      <c r="C4" s="4" t="str">
        <f aca="false">Macro!B27</f>
        <v>NEUTRAL</v>
      </c>
      <c r="E4" s="2" t="s">
        <v>33</v>
      </c>
    </row>
    <row r="5" customFormat="false" ht="15" hidden="false" customHeight="false" outlineLevel="0" collapsed="false">
      <c r="B5" s="3" t="s">
        <v>34</v>
      </c>
      <c r="C5" s="5" t="n">
        <f aca="false">Macro!B26</f>
        <v>53.5</v>
      </c>
      <c r="E5" s="6" t="s">
        <v>35</v>
      </c>
      <c r="F5" s="6" t="s">
        <v>36</v>
      </c>
      <c r="G5" s="6" t="s">
        <v>37</v>
      </c>
      <c r="H5" s="6" t="s">
        <v>38</v>
      </c>
      <c r="I5" s="6" t="s">
        <v>39</v>
      </c>
      <c r="J5" s="6" t="s">
        <v>40</v>
      </c>
    </row>
    <row r="6" customFormat="false" ht="15" hidden="false" customHeight="false" outlineLevel="0" collapsed="false">
      <c r="B6" s="2" t="s">
        <v>41</v>
      </c>
      <c r="E6" s="7" t="str">
        <f aca="false">Recommendations!B2</f>
        <v>YESBANK</v>
      </c>
      <c r="F6" s="7" t="str">
        <f aca="false">Recommendations!C2</f>
        <v>Yes Bank Ltd.</v>
      </c>
      <c r="G6" s="8" t="n">
        <f aca="false">Recommendations!F2</f>
        <v>50.7</v>
      </c>
      <c r="H6" s="7" t="str">
        <f aca="false">Recommendations!G2</f>
        <v>HOLD</v>
      </c>
      <c r="I6" s="7" t="str">
        <f aca="false">Recommendations!H2</f>
        <v>Low</v>
      </c>
      <c r="J6" s="7" t="str">
        <f aca="false">Recommendations!J2</f>
        <v>Rich valuation</v>
      </c>
    </row>
    <row r="7" customFormat="false" ht="15" hidden="false" customHeight="false" outlineLevel="0" collapsed="false">
      <c r="B7" s="3" t="s">
        <v>42</v>
      </c>
      <c r="C7" s="3" t="n">
        <f aca="false">COUNTIF(Scoring!P2:P151,"BUY")</f>
        <v>0</v>
      </c>
      <c r="E7" s="7" t="str">
        <f aca="false">Recommendations!B3</f>
        <v>WAAREEENER</v>
      </c>
      <c r="F7" s="7" t="str">
        <f aca="false">Recommendations!C3</f>
        <v>Waaree Energies Ltd.</v>
      </c>
      <c r="G7" s="8" t="n">
        <f aca="false">Recommendations!F3</f>
        <v>50.7</v>
      </c>
      <c r="H7" s="7" t="str">
        <f aca="false">Recommendations!G3</f>
        <v>HOLD</v>
      </c>
      <c r="I7" s="7" t="str">
        <f aca="false">Recommendations!H3</f>
        <v>Low</v>
      </c>
      <c r="J7" s="7" t="str">
        <f aca="false">Recommendations!J3</f>
        <v>Rich valuation</v>
      </c>
    </row>
    <row r="8" customFormat="false" ht="15" hidden="false" customHeight="false" outlineLevel="0" collapsed="false">
      <c r="B8" s="3" t="s">
        <v>43</v>
      </c>
      <c r="C8" s="3" t="n">
        <f aca="false">COUNTIF(Scoring!P2:P151,"ACCUMULATE")</f>
        <v>0</v>
      </c>
      <c r="E8" s="7" t="str">
        <f aca="false">Recommendations!B4</f>
        <v>UPL</v>
      </c>
      <c r="F8" s="7" t="str">
        <f aca="false">Recommendations!C4</f>
        <v>UPL Ltd.</v>
      </c>
      <c r="G8" s="8" t="n">
        <f aca="false">Recommendations!F4</f>
        <v>50.7</v>
      </c>
      <c r="H8" s="7" t="str">
        <f aca="false">Recommendations!G4</f>
        <v>HOLD</v>
      </c>
      <c r="I8" s="7" t="str">
        <f aca="false">Recommendations!H4</f>
        <v>Low</v>
      </c>
      <c r="J8" s="7" t="str">
        <f aca="false">Recommendations!J4</f>
        <v>Rich valuation</v>
      </c>
    </row>
    <row r="9" customFormat="false" ht="15" hidden="false" customHeight="false" outlineLevel="0" collapsed="false">
      <c r="B9" s="3" t="s">
        <v>44</v>
      </c>
      <c r="C9" s="3" t="n">
        <f aca="false">COUNTIF(Scoring!P2:P151,"HOLD")</f>
        <v>50</v>
      </c>
      <c r="E9" s="7" t="str">
        <f aca="false">Recommendations!B5</f>
        <v>TIINDIA</v>
      </c>
      <c r="F9" s="7" t="str">
        <f aca="false">Recommendations!C5</f>
        <v>Tube Investments of India Ltd.</v>
      </c>
      <c r="G9" s="8" t="n">
        <f aca="false">Recommendations!F5</f>
        <v>50.7</v>
      </c>
      <c r="H9" s="7" t="str">
        <f aca="false">Recommendations!G5</f>
        <v>HOLD</v>
      </c>
      <c r="I9" s="7" t="str">
        <f aca="false">Recommendations!H5</f>
        <v>Low</v>
      </c>
      <c r="J9" s="7" t="str">
        <f aca="false">Recommendations!J5</f>
        <v>Rich valuation</v>
      </c>
    </row>
    <row r="10" customFormat="false" ht="15" hidden="false" customHeight="false" outlineLevel="0" collapsed="false">
      <c r="B10" s="3" t="s">
        <v>45</v>
      </c>
      <c r="C10" s="3" t="n">
        <f aca="false">COUNTIF(Scoring!P2:P151,"AVOID")</f>
        <v>0</v>
      </c>
      <c r="E10" s="7" t="str">
        <f aca="false">Recommendations!B6</f>
        <v>SWIGGY</v>
      </c>
      <c r="F10" s="7" t="str">
        <f aca="false">Recommendations!C6</f>
        <v>Swiggy Ltd.</v>
      </c>
      <c r="G10" s="8" t="n">
        <f aca="false">Recommendations!F6</f>
        <v>50.7</v>
      </c>
      <c r="H10" s="7" t="str">
        <f aca="false">Recommendations!G6</f>
        <v>HOLD</v>
      </c>
      <c r="I10" s="7" t="str">
        <f aca="false">Recommendations!H6</f>
        <v>Low</v>
      </c>
      <c r="J10" s="7" t="str">
        <f aca="false">Recommendations!J6</f>
        <v>Rich valuation</v>
      </c>
    </row>
    <row r="11" customFormat="false" ht="15" hidden="false" customHeight="false" outlineLevel="0" collapsed="false">
      <c r="E11" s="7" t="str">
        <f aca="false">Recommendations!B7</f>
        <v>SUZLON</v>
      </c>
      <c r="F11" s="7" t="str">
        <f aca="false">Recommendations!C7</f>
        <v>Suzlon Energy Ltd.</v>
      </c>
      <c r="G11" s="8" t="n">
        <f aca="false">Recommendations!F7</f>
        <v>50.7</v>
      </c>
      <c r="H11" s="7" t="str">
        <f aca="false">Recommendations!G7</f>
        <v>HOLD</v>
      </c>
      <c r="I11" s="7" t="str">
        <f aca="false">Recommendations!H7</f>
        <v>Low</v>
      </c>
      <c r="J11" s="7" t="str">
        <f aca="false">Recommendations!J7</f>
        <v>Rich valuation</v>
      </c>
    </row>
    <row r="12" customFormat="false" ht="15" hidden="false" customHeight="false" outlineLevel="0" collapsed="false">
      <c r="B12" s="3" t="s">
        <v>46</v>
      </c>
      <c r="C12" s="3" t="n">
        <f aca="false">COUNTIF(Tickers!F2:F151,TRUE())</f>
        <v>50</v>
      </c>
      <c r="E12" s="7" t="str">
        <f aca="false">Recommendations!B8</f>
        <v>SUPREMEIND</v>
      </c>
      <c r="F12" s="7" t="str">
        <f aca="false">Recommendations!C8</f>
        <v>Supreme Industries Ltd.</v>
      </c>
      <c r="G12" s="8" t="n">
        <f aca="false">Recommendations!F8</f>
        <v>50.7</v>
      </c>
      <c r="H12" s="7" t="str">
        <f aca="false">Recommendations!G8</f>
        <v>HOLD</v>
      </c>
      <c r="I12" s="7" t="str">
        <f aca="false">Recommendations!H8</f>
        <v>Low</v>
      </c>
      <c r="J12" s="7" t="str">
        <f aca="false">Recommendations!J8</f>
        <v>Rich valuation</v>
      </c>
    </row>
    <row r="13" customFormat="false" ht="15" hidden="false" customHeight="false" outlineLevel="0" collapsed="false">
      <c r="E13" s="7" t="str">
        <f aca="false">Recommendations!B9</f>
        <v>SRF</v>
      </c>
      <c r="F13" s="7" t="str">
        <f aca="false">Recommendations!C9</f>
        <v>SRF Ltd.</v>
      </c>
      <c r="G13" s="8" t="n">
        <f aca="false">Recommendations!F9</f>
        <v>50.7</v>
      </c>
      <c r="H13" s="7" t="str">
        <f aca="false">Recommendations!G9</f>
        <v>HOLD</v>
      </c>
      <c r="I13" s="7" t="str">
        <f aca="false">Recommendations!H9</f>
        <v>Low</v>
      </c>
      <c r="J13" s="7" t="str">
        <f aca="false">Recommendations!J9</f>
        <v>Rich valuation</v>
      </c>
    </row>
    <row r="14" customFormat="false" ht="15" hidden="false" customHeight="false" outlineLevel="0" collapsed="false">
      <c r="B14" s="9" t="s">
        <v>47</v>
      </c>
      <c r="E14" s="7" t="str">
        <f aca="false">Recommendations!B10</f>
        <v>SBICARD</v>
      </c>
      <c r="F14" s="7" t="str">
        <f aca="false">Recommendations!C10</f>
        <v>SBI Cards and Payment Services Ltd.</v>
      </c>
      <c r="G14" s="8" t="n">
        <f aca="false">Recommendations!F10</f>
        <v>50.7</v>
      </c>
      <c r="H14" s="7" t="str">
        <f aca="false">Recommendations!G10</f>
        <v>HOLD</v>
      </c>
      <c r="I14" s="7" t="str">
        <f aca="false">Recommendations!H10</f>
        <v>Low</v>
      </c>
      <c r="J14" s="7" t="str">
        <f aca="false">Recommendations!J10</f>
        <v>Rich valuation</v>
      </c>
    </row>
    <row r="15" customFormat="false" ht="15" hidden="false" customHeight="false" outlineLevel="0" collapsed="false">
      <c r="E15" s="7" t="str">
        <f aca="false">Recommendations!B11</f>
        <v>PRESTIGE</v>
      </c>
      <c r="F15" s="7" t="str">
        <f aca="false">Recommendations!C11</f>
        <v>Prestige Estates Projects Ltd.</v>
      </c>
      <c r="G15" s="8" t="n">
        <f aca="false">Recommendations!F11</f>
        <v>50.7</v>
      </c>
      <c r="H15" s="7" t="str">
        <f aca="false">Recommendations!G11</f>
        <v>HOLD</v>
      </c>
      <c r="I15" s="7" t="str">
        <f aca="false">Recommendations!H11</f>
        <v>Low</v>
      </c>
      <c r="J15" s="7" t="str">
        <f aca="false">Recommendations!J11</f>
        <v>Rich valuation</v>
      </c>
    </row>
    <row r="16" customFormat="false" ht="15" hidden="false" customHeight="false" outlineLevel="0" collapsed="false">
      <c r="E16" s="7" t="str">
        <f aca="false">Recommendations!B12</f>
        <v>POLYCAB</v>
      </c>
      <c r="F16" s="7" t="str">
        <f aca="false">Recommendations!C12</f>
        <v>Polycab India Ltd.</v>
      </c>
      <c r="G16" s="8" t="n">
        <f aca="false">Recommendations!F12</f>
        <v>50.7</v>
      </c>
      <c r="H16" s="7" t="str">
        <f aca="false">Recommendations!G12</f>
        <v>HOLD</v>
      </c>
      <c r="I16" s="7" t="str">
        <f aca="false">Recommendations!H12</f>
        <v>Low</v>
      </c>
      <c r="J16" s="7" t="str">
        <f aca="false">Recommendations!J12</f>
        <v>Rich valuation</v>
      </c>
    </row>
    <row r="17" customFormat="false" ht="15" hidden="false" customHeight="false" outlineLevel="0" collapsed="false">
      <c r="E17" s="7" t="str">
        <f aca="false">Recommendations!B13</f>
        <v>PHOENIXLTD</v>
      </c>
      <c r="F17" s="7" t="str">
        <f aca="false">Recommendations!C13</f>
        <v>Phoenix Mills Ltd.</v>
      </c>
      <c r="G17" s="8" t="n">
        <f aca="false">Recommendations!F13</f>
        <v>50.7</v>
      </c>
      <c r="H17" s="7" t="str">
        <f aca="false">Recommendations!G13</f>
        <v>HOLD</v>
      </c>
      <c r="I17" s="7" t="str">
        <f aca="false">Recommendations!H13</f>
        <v>Low</v>
      </c>
      <c r="J17" s="7" t="str">
        <f aca="false">Recommendations!J13</f>
        <v>Rich valuation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48</v>
      </c>
    </row>
    <row r="3" customFormat="false" ht="15" hidden="false" customHeight="false" outlineLevel="0" collapsed="false">
      <c r="A3" s="3" t="s">
        <v>49</v>
      </c>
      <c r="B3" s="10" t="n">
        <v>0.4</v>
      </c>
      <c r="C3" s="9" t="s">
        <v>50</v>
      </c>
    </row>
    <row r="4" customFormat="false" ht="15" hidden="false" customHeight="false" outlineLevel="0" collapsed="false">
      <c r="A4" s="3" t="s">
        <v>51</v>
      </c>
      <c r="B4" s="10" t="n">
        <v>0.4</v>
      </c>
      <c r="C4" s="9"/>
    </row>
    <row r="5" customFormat="false" ht="15" hidden="false" customHeight="false" outlineLevel="0" collapsed="false">
      <c r="A5" s="3" t="s">
        <v>52</v>
      </c>
      <c r="B5" s="10" t="n">
        <v>0.2</v>
      </c>
      <c r="C5" s="9"/>
    </row>
    <row r="7" customFormat="false" ht="15" hidden="false" customHeight="false" outlineLevel="0" collapsed="false">
      <c r="A7" s="3" t="s">
        <v>53</v>
      </c>
      <c r="B7" s="11" t="n">
        <v>65</v>
      </c>
      <c r="C7" s="9" t="s">
        <v>54</v>
      </c>
    </row>
    <row r="8" customFormat="false" ht="15" hidden="false" customHeight="false" outlineLevel="0" collapsed="false">
      <c r="A8" s="3" t="s">
        <v>55</v>
      </c>
      <c r="B8" s="11" t="n">
        <v>52</v>
      </c>
      <c r="C8" s="9"/>
    </row>
    <row r="9" customFormat="false" ht="15" hidden="false" customHeight="false" outlineLevel="0" collapsed="false">
      <c r="A9" s="3" t="s">
        <v>56</v>
      </c>
      <c r="B9" s="11" t="n">
        <v>40</v>
      </c>
      <c r="C9" s="9" t="s">
        <v>57</v>
      </c>
    </row>
    <row r="11" customFormat="false" ht="15" hidden="false" customHeight="false" outlineLevel="0" collapsed="false">
      <c r="A11" s="3" t="s">
        <v>58</v>
      </c>
      <c r="B11" s="11" t="n">
        <v>8</v>
      </c>
      <c r="C11" s="9" t="s">
        <v>59</v>
      </c>
    </row>
    <row r="12" customFormat="false" ht="15" hidden="false" customHeight="false" outlineLevel="0" collapsed="false">
      <c r="A12" s="3" t="s">
        <v>60</v>
      </c>
      <c r="B12" s="10" t="n">
        <v>0.025</v>
      </c>
      <c r="C12" s="9" t="s">
        <v>61</v>
      </c>
    </row>
    <row r="13" customFormat="false" ht="15" hidden="false" customHeight="false" outlineLevel="0" collapsed="false">
      <c r="A13" s="3" t="s">
        <v>62</v>
      </c>
      <c r="B13" s="10" t="n">
        <v>0.0125</v>
      </c>
      <c r="C13" s="9" t="s">
        <v>63</v>
      </c>
    </row>
    <row r="15" customFormat="false" ht="15" hidden="false" customHeight="false" outlineLevel="0" collapsed="false">
      <c r="A15" s="3" t="s">
        <v>64</v>
      </c>
      <c r="B15" s="12" t="n">
        <f aca="false">B3+B4+B5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6" t="s">
        <v>35</v>
      </c>
      <c r="B1" s="6" t="s">
        <v>65</v>
      </c>
      <c r="C1" s="6" t="s">
        <v>66</v>
      </c>
      <c r="D1" s="6" t="s">
        <v>67</v>
      </c>
      <c r="E1" s="6" t="s">
        <v>68</v>
      </c>
      <c r="F1" s="6" t="s">
        <v>69</v>
      </c>
    </row>
    <row r="2" customFormat="false" ht="15" hidden="false" customHeight="false" outlineLevel="0" collapsed="false">
      <c r="A2" s="3" t="s">
        <v>70</v>
      </c>
      <c r="B2" s="3" t="s">
        <v>71</v>
      </c>
      <c r="C2" s="3" t="s">
        <v>72</v>
      </c>
      <c r="D2" s="3" t="s">
        <v>73</v>
      </c>
      <c r="E2" s="3" t="str">
        <f aca="false">A2&amp;".NS"</f>
        <v>APLAPOLLO.NS</v>
      </c>
      <c r="F2" s="13" t="b">
        <f aca="false">IF(D2="MIDCAP50",TRUE(),IF(ISNUMBER(Fundamentals!B2),SUMPRODUCT(($D$2:$D$151="SMALLCAP100")*ISNUMBER(Fundamentals!$B$2:$B$151)*(Fundamentals!$B$2:$B$151&gt;Fundamentals!B2))+1&lt;=50,FALSE()))</f>
        <v>1</v>
      </c>
    </row>
    <row r="3" customFormat="false" ht="15" hidden="false" customHeight="false" outlineLevel="0" collapsed="false">
      <c r="A3" s="3" t="s">
        <v>74</v>
      </c>
      <c r="B3" s="3" t="s">
        <v>75</v>
      </c>
      <c r="C3" s="3" t="s">
        <v>76</v>
      </c>
      <c r="D3" s="3" t="s">
        <v>73</v>
      </c>
      <c r="E3" s="3" t="str">
        <f aca="false">A3&amp;".NS"</f>
        <v>AUBANK.NS</v>
      </c>
      <c r="F3" s="13" t="b">
        <f aca="false">IF(D3="MIDCAP50",TRUE(),IF(ISNUMBER(Fundamentals!B3),SUMPRODUCT(($D$2:$D$151="SMALLCAP100")*ISNUMBER(Fundamentals!$B$2:$B$151)*(Fundamentals!$B$2:$B$151&gt;Fundamentals!B3))+1&lt;=50,FALSE()))</f>
        <v>1</v>
      </c>
    </row>
    <row r="4" customFormat="false" ht="15" hidden="false" customHeight="false" outlineLevel="0" collapsed="false">
      <c r="A4" s="3" t="s">
        <v>77</v>
      </c>
      <c r="B4" s="3" t="s">
        <v>78</v>
      </c>
      <c r="C4" s="3" t="s">
        <v>79</v>
      </c>
      <c r="D4" s="3" t="s">
        <v>73</v>
      </c>
      <c r="E4" s="3" t="str">
        <f aca="false">A4&amp;".NS"</f>
        <v>ALKEM.NS</v>
      </c>
      <c r="F4" s="13" t="b">
        <f aca="false">IF(D4="MIDCAP50",TRUE(),IF(ISNUMBER(Fundamentals!B4),SUMPRODUCT(($D$2:$D$151="SMALLCAP100")*ISNUMBER(Fundamentals!$B$2:$B$151)*(Fundamentals!$B$2:$B$151&gt;Fundamentals!B4))+1&lt;=50,FALSE()))</f>
        <v>1</v>
      </c>
    </row>
    <row r="5" customFormat="false" ht="15" hidden="false" customHeight="false" outlineLevel="0" collapsed="false">
      <c r="A5" s="3" t="s">
        <v>80</v>
      </c>
      <c r="B5" s="3" t="s">
        <v>81</v>
      </c>
      <c r="C5" s="3" t="s">
        <v>72</v>
      </c>
      <c r="D5" s="3" t="s">
        <v>73</v>
      </c>
      <c r="E5" s="3" t="str">
        <f aca="false">A5&amp;".NS"</f>
        <v>ASHOKLEY.NS</v>
      </c>
      <c r="F5" s="13" t="b">
        <f aca="false">IF(D5="MIDCAP50",TRUE(),IF(ISNUMBER(Fundamentals!B5),SUMPRODUCT(($D$2:$D$151="SMALLCAP100")*ISNUMBER(Fundamentals!$B$2:$B$151)*(Fundamentals!$B$2:$B$151&gt;Fundamentals!B5))+1&lt;=50,FALSE()))</f>
        <v>1</v>
      </c>
    </row>
    <row r="6" customFormat="false" ht="15" hidden="false" customHeight="false" outlineLevel="0" collapsed="false">
      <c r="A6" s="3" t="s">
        <v>82</v>
      </c>
      <c r="B6" s="3" t="s">
        <v>83</v>
      </c>
      <c r="C6" s="3" t="s">
        <v>79</v>
      </c>
      <c r="D6" s="3" t="s">
        <v>73</v>
      </c>
      <c r="E6" s="3" t="str">
        <f aca="false">A6&amp;".NS"</f>
        <v>AUROPHARMA.NS</v>
      </c>
      <c r="F6" s="13" t="b">
        <f aca="false">IF(D6="MIDCAP50",TRUE(),IF(ISNUMBER(Fundamentals!B6),SUMPRODUCT(($D$2:$D$151="SMALLCAP100")*ISNUMBER(Fundamentals!$B$2:$B$151)*(Fundamentals!$B$2:$B$151&gt;Fundamentals!B6))+1&lt;=50,FALSE()))</f>
        <v>1</v>
      </c>
    </row>
    <row r="7" customFormat="false" ht="15" hidden="false" customHeight="false" outlineLevel="0" collapsed="false">
      <c r="A7" s="3" t="s">
        <v>84</v>
      </c>
      <c r="B7" s="3" t="s">
        <v>85</v>
      </c>
      <c r="C7" s="3" t="s">
        <v>76</v>
      </c>
      <c r="D7" s="3" t="s">
        <v>73</v>
      </c>
      <c r="E7" s="3" t="str">
        <f aca="false">A7&amp;".NS"</f>
        <v>BSE.NS</v>
      </c>
      <c r="F7" s="13" t="b">
        <f aca="false">IF(D7="MIDCAP50",TRUE(),IF(ISNUMBER(Fundamentals!B7),SUMPRODUCT(($D$2:$D$151="SMALLCAP100")*ISNUMBER(Fundamentals!$B$2:$B$151)*(Fundamentals!$B$2:$B$151&gt;Fundamentals!B7))+1&lt;=50,FALSE()))</f>
        <v>1</v>
      </c>
    </row>
    <row r="8" customFormat="false" ht="15" hidden="false" customHeight="false" outlineLevel="0" collapsed="false">
      <c r="A8" s="3" t="s">
        <v>86</v>
      </c>
      <c r="B8" s="3" t="s">
        <v>87</v>
      </c>
      <c r="C8" s="3" t="s">
        <v>88</v>
      </c>
      <c r="D8" s="3" t="s">
        <v>73</v>
      </c>
      <c r="E8" s="3" t="str">
        <f aca="false">A8&amp;".NS"</f>
        <v>BHARATFORG.NS</v>
      </c>
      <c r="F8" s="13" t="b">
        <f aca="false">IF(D8="MIDCAP50",TRUE(),IF(ISNUMBER(Fundamentals!B8),SUMPRODUCT(($D$2:$D$151="SMALLCAP100")*ISNUMBER(Fundamentals!$B$2:$B$151)*(Fundamentals!$B$2:$B$151&gt;Fundamentals!B8))+1&lt;=50,FALSE()))</f>
        <v>1</v>
      </c>
    </row>
    <row r="9" customFormat="false" ht="15" hidden="false" customHeight="false" outlineLevel="0" collapsed="false">
      <c r="A9" s="3" t="s">
        <v>89</v>
      </c>
      <c r="B9" s="3" t="s">
        <v>90</v>
      </c>
      <c r="C9" s="3" t="s">
        <v>72</v>
      </c>
      <c r="D9" s="3" t="s">
        <v>73</v>
      </c>
      <c r="E9" s="3" t="str">
        <f aca="false">A9&amp;".NS"</f>
        <v>BHEL.NS</v>
      </c>
      <c r="F9" s="13" t="b">
        <f aca="false">IF(D9="MIDCAP50",TRUE(),IF(ISNUMBER(Fundamentals!B9),SUMPRODUCT(($D$2:$D$151="SMALLCAP100")*ISNUMBER(Fundamentals!$B$2:$B$151)*(Fundamentals!$B$2:$B$151&gt;Fundamentals!B9))+1&lt;=50,FALSE()))</f>
        <v>1</v>
      </c>
    </row>
    <row r="10" customFormat="false" ht="15" hidden="false" customHeight="false" outlineLevel="0" collapsed="false">
      <c r="A10" s="3" t="s">
        <v>91</v>
      </c>
      <c r="B10" s="3" t="s">
        <v>92</v>
      </c>
      <c r="C10" s="3" t="s">
        <v>93</v>
      </c>
      <c r="D10" s="3" t="s">
        <v>73</v>
      </c>
      <c r="E10" s="3" t="str">
        <f aca="false">A10&amp;".NS"</f>
        <v>COFORGE.NS</v>
      </c>
      <c r="F10" s="13" t="b">
        <f aca="false">IF(D10="MIDCAP50",TRUE(),IF(ISNUMBER(Fundamentals!B10),SUMPRODUCT(($D$2:$D$151="SMALLCAP100")*ISNUMBER(Fundamentals!$B$2:$B$151)*(Fundamentals!$B$2:$B$151&gt;Fundamentals!B10))+1&lt;=50,FALSE()))</f>
        <v>1</v>
      </c>
    </row>
    <row r="11" customFormat="false" ht="15" hidden="false" customHeight="false" outlineLevel="0" collapsed="false">
      <c r="A11" s="3" t="s">
        <v>94</v>
      </c>
      <c r="B11" s="3" t="s">
        <v>95</v>
      </c>
      <c r="C11" s="3" t="s">
        <v>96</v>
      </c>
      <c r="D11" s="3" t="s">
        <v>73</v>
      </c>
      <c r="E11" s="3" t="str">
        <f aca="false">A11&amp;".NS"</f>
        <v>COLPAL.NS</v>
      </c>
      <c r="F11" s="13" t="b">
        <f aca="false">IF(D11="MIDCAP50",TRUE(),IF(ISNUMBER(Fundamentals!B11),SUMPRODUCT(($D$2:$D$151="SMALLCAP100")*ISNUMBER(Fundamentals!$B$2:$B$151)*(Fundamentals!$B$2:$B$151&gt;Fundamentals!B11))+1&lt;=50,FALSE()))</f>
        <v>1</v>
      </c>
    </row>
    <row r="12" customFormat="false" ht="15" hidden="false" customHeight="false" outlineLevel="0" collapsed="false">
      <c r="A12" s="3" t="s">
        <v>97</v>
      </c>
      <c r="B12" s="3" t="s">
        <v>98</v>
      </c>
      <c r="C12" s="3" t="s">
        <v>96</v>
      </c>
      <c r="D12" s="3" t="s">
        <v>73</v>
      </c>
      <c r="E12" s="3" t="str">
        <f aca="false">A12&amp;".NS"</f>
        <v>DABUR.NS</v>
      </c>
      <c r="F12" s="13" t="b">
        <f aca="false">IF(D12="MIDCAP50",TRUE(),IF(ISNUMBER(Fundamentals!B12),SUMPRODUCT(($D$2:$D$151="SMALLCAP100")*ISNUMBER(Fundamentals!$B$2:$B$151)*(Fundamentals!$B$2:$B$151&gt;Fundamentals!B12))+1&lt;=50,FALSE()))</f>
        <v>1</v>
      </c>
    </row>
    <row r="13" customFormat="false" ht="15" hidden="false" customHeight="false" outlineLevel="0" collapsed="false">
      <c r="A13" s="3" t="s">
        <v>99</v>
      </c>
      <c r="B13" s="3" t="s">
        <v>100</v>
      </c>
      <c r="C13" s="3" t="s">
        <v>101</v>
      </c>
      <c r="D13" s="3" t="s">
        <v>73</v>
      </c>
      <c r="E13" s="3" t="str">
        <f aca="false">A13&amp;".NS"</f>
        <v>DIXON.NS</v>
      </c>
      <c r="F13" s="13" t="b">
        <f aca="false">IF(D13="MIDCAP50",TRUE(),IF(ISNUMBER(Fundamentals!B13),SUMPRODUCT(($D$2:$D$151="SMALLCAP100")*ISNUMBER(Fundamentals!$B$2:$B$151)*(Fundamentals!$B$2:$B$151&gt;Fundamentals!B13))+1&lt;=50,FALSE()))</f>
        <v>1</v>
      </c>
    </row>
    <row r="14" customFormat="false" ht="15" hidden="false" customHeight="false" outlineLevel="0" collapsed="false">
      <c r="A14" s="3" t="s">
        <v>102</v>
      </c>
      <c r="B14" s="3" t="s">
        <v>103</v>
      </c>
      <c r="C14" s="3" t="s">
        <v>104</v>
      </c>
      <c r="D14" s="3" t="s">
        <v>73</v>
      </c>
      <c r="E14" s="3" t="str">
        <f aca="false">A14&amp;".NS"</f>
        <v>NYKAA.NS</v>
      </c>
      <c r="F14" s="13" t="b">
        <f aca="false">IF(D14="MIDCAP50",TRUE(),IF(ISNUMBER(Fundamentals!B14),SUMPRODUCT(($D$2:$D$151="SMALLCAP100")*ISNUMBER(Fundamentals!$B$2:$B$151)*(Fundamentals!$B$2:$B$151&gt;Fundamentals!B14))+1&lt;=50,FALSE()))</f>
        <v>1</v>
      </c>
    </row>
    <row r="15" customFormat="false" ht="15" hidden="false" customHeight="false" outlineLevel="0" collapsed="false">
      <c r="A15" s="3" t="s">
        <v>105</v>
      </c>
      <c r="B15" s="3" t="s">
        <v>106</v>
      </c>
      <c r="C15" s="3" t="s">
        <v>76</v>
      </c>
      <c r="D15" s="3" t="s">
        <v>73</v>
      </c>
      <c r="E15" s="3" t="str">
        <f aca="false">A15&amp;".NS"</f>
        <v>FEDERALBNK.NS</v>
      </c>
      <c r="F15" s="13" t="b">
        <f aca="false">IF(D15="MIDCAP50",TRUE(),IF(ISNUMBER(Fundamentals!B15),SUMPRODUCT(($D$2:$D$151="SMALLCAP100")*ISNUMBER(Fundamentals!$B$2:$B$151)*(Fundamentals!$B$2:$B$151&gt;Fundamentals!B15))+1&lt;=50,FALSE()))</f>
        <v>1</v>
      </c>
    </row>
    <row r="16" customFormat="false" ht="15" hidden="false" customHeight="false" outlineLevel="0" collapsed="false">
      <c r="A16" s="3" t="s">
        <v>107</v>
      </c>
      <c r="B16" s="3" t="s">
        <v>108</v>
      </c>
      <c r="C16" s="3" t="s">
        <v>79</v>
      </c>
      <c r="D16" s="3" t="s">
        <v>73</v>
      </c>
      <c r="E16" s="3" t="str">
        <f aca="false">A16&amp;".NS"</f>
        <v>FORTIS.NS</v>
      </c>
      <c r="F16" s="13" t="b">
        <f aca="false">IF(D16="MIDCAP50",TRUE(),IF(ISNUMBER(Fundamentals!B16),SUMPRODUCT(($D$2:$D$151="SMALLCAP100")*ISNUMBER(Fundamentals!$B$2:$B$151)*(Fundamentals!$B$2:$B$151&gt;Fundamentals!B16))+1&lt;=50,FALSE()))</f>
        <v>1</v>
      </c>
    </row>
    <row r="17" customFormat="false" ht="15" hidden="false" customHeight="false" outlineLevel="0" collapsed="false">
      <c r="A17" s="3" t="s">
        <v>109</v>
      </c>
      <c r="B17" s="3" t="s">
        <v>110</v>
      </c>
      <c r="C17" s="3" t="s">
        <v>111</v>
      </c>
      <c r="D17" s="3" t="s">
        <v>73</v>
      </c>
      <c r="E17" s="3" t="str">
        <f aca="false">A17&amp;".NS"</f>
        <v>GMRAIRPORT.NS</v>
      </c>
      <c r="F17" s="13" t="b">
        <f aca="false">IF(D17="MIDCAP50",TRUE(),IF(ISNUMBER(Fundamentals!B17),SUMPRODUCT(($D$2:$D$151="SMALLCAP100")*ISNUMBER(Fundamentals!$B$2:$B$151)*(Fundamentals!$B$2:$B$151&gt;Fundamentals!B17))+1&lt;=50,FALSE()))</f>
        <v>1</v>
      </c>
    </row>
    <row r="18" customFormat="false" ht="15" hidden="false" customHeight="false" outlineLevel="0" collapsed="false">
      <c r="A18" s="3" t="s">
        <v>112</v>
      </c>
      <c r="B18" s="3" t="s">
        <v>113</v>
      </c>
      <c r="C18" s="3" t="s">
        <v>114</v>
      </c>
      <c r="D18" s="3" t="s">
        <v>73</v>
      </c>
      <c r="E18" s="3" t="str">
        <f aca="false">A18&amp;".NS"</f>
        <v>GODREJPROP.NS</v>
      </c>
      <c r="F18" s="13" t="b">
        <f aca="false">IF(D18="MIDCAP50",TRUE(),IF(ISNUMBER(Fundamentals!B18),SUMPRODUCT(($D$2:$D$151="SMALLCAP100")*ISNUMBER(Fundamentals!$B$2:$B$151)*(Fundamentals!$B$2:$B$151&gt;Fundamentals!B18))+1&lt;=50,FALSE()))</f>
        <v>1</v>
      </c>
    </row>
    <row r="19" customFormat="false" ht="15" hidden="false" customHeight="false" outlineLevel="0" collapsed="false">
      <c r="A19" s="3" t="s">
        <v>115</v>
      </c>
      <c r="B19" s="3" t="s">
        <v>116</v>
      </c>
      <c r="C19" s="3" t="s">
        <v>101</v>
      </c>
      <c r="D19" s="3" t="s">
        <v>73</v>
      </c>
      <c r="E19" s="3" t="str">
        <f aca="false">A19&amp;".NS"</f>
        <v>HAVELLS.NS</v>
      </c>
      <c r="F19" s="13" t="b">
        <f aca="false">IF(D19="MIDCAP50",TRUE(),IF(ISNUMBER(Fundamentals!B19),SUMPRODUCT(($D$2:$D$151="SMALLCAP100")*ISNUMBER(Fundamentals!$B$2:$B$151)*(Fundamentals!$B$2:$B$151&gt;Fundamentals!B19))+1&lt;=50,FALSE()))</f>
        <v>1</v>
      </c>
    </row>
    <row r="20" customFormat="false" ht="15" hidden="false" customHeight="false" outlineLevel="0" collapsed="false">
      <c r="A20" s="3" t="s">
        <v>117</v>
      </c>
      <c r="B20" s="3" t="s">
        <v>118</v>
      </c>
      <c r="C20" s="3" t="s">
        <v>88</v>
      </c>
      <c r="D20" s="3" t="s">
        <v>73</v>
      </c>
      <c r="E20" s="3" t="str">
        <f aca="false">A20&amp;".NS"</f>
        <v>HEROMOTOCO.NS</v>
      </c>
      <c r="F20" s="13" t="b">
        <f aca="false">IF(D20="MIDCAP50",TRUE(),IF(ISNUMBER(Fundamentals!B20),SUMPRODUCT(($D$2:$D$151="SMALLCAP100")*ISNUMBER(Fundamentals!$B$2:$B$151)*(Fundamentals!$B$2:$B$151&gt;Fundamentals!B20))+1&lt;=50,FALSE()))</f>
        <v>1</v>
      </c>
    </row>
    <row r="21" customFormat="false" ht="15" hidden="false" customHeight="false" outlineLevel="0" collapsed="false">
      <c r="A21" s="3" t="s">
        <v>119</v>
      </c>
      <c r="B21" s="3" t="s">
        <v>120</v>
      </c>
      <c r="C21" s="3" t="s">
        <v>121</v>
      </c>
      <c r="D21" s="3" t="s">
        <v>73</v>
      </c>
      <c r="E21" s="3" t="str">
        <f aca="false">A21&amp;".NS"</f>
        <v>HINDPETRO.NS</v>
      </c>
      <c r="F21" s="13" t="b">
        <f aca="false">IF(D21="MIDCAP50",TRUE(),IF(ISNUMBER(Fundamentals!B21),SUMPRODUCT(($D$2:$D$151="SMALLCAP100")*ISNUMBER(Fundamentals!$B$2:$B$151)*(Fundamentals!$B$2:$B$151&gt;Fundamentals!B21))+1&lt;=50,FALSE()))</f>
        <v>1</v>
      </c>
    </row>
    <row r="22" customFormat="false" ht="15" hidden="false" customHeight="false" outlineLevel="0" collapsed="false">
      <c r="A22" s="3" t="s">
        <v>122</v>
      </c>
      <c r="B22" s="3" t="s">
        <v>123</v>
      </c>
      <c r="C22" s="3" t="s">
        <v>76</v>
      </c>
      <c r="D22" s="3" t="s">
        <v>73</v>
      </c>
      <c r="E22" s="3" t="str">
        <f aca="false">A22&amp;".NS"</f>
        <v>ICICIGI.NS</v>
      </c>
      <c r="F22" s="13" t="b">
        <f aca="false">IF(D22="MIDCAP50",TRUE(),IF(ISNUMBER(Fundamentals!B22),SUMPRODUCT(($D$2:$D$151="SMALLCAP100")*ISNUMBER(Fundamentals!$B$2:$B$151)*(Fundamentals!$B$2:$B$151&gt;Fundamentals!B22))+1&lt;=50,FALSE()))</f>
        <v>1</v>
      </c>
    </row>
    <row r="23" customFormat="false" ht="15" hidden="false" customHeight="false" outlineLevel="0" collapsed="false">
      <c r="A23" s="3" t="s">
        <v>124</v>
      </c>
      <c r="B23" s="3" t="s">
        <v>125</v>
      </c>
      <c r="C23" s="3" t="s">
        <v>76</v>
      </c>
      <c r="D23" s="3" t="s">
        <v>73</v>
      </c>
      <c r="E23" s="3" t="str">
        <f aca="false">A23&amp;".NS"</f>
        <v>IDFCFIRSTB.NS</v>
      </c>
      <c r="F23" s="13" t="b">
        <f aca="false">IF(D23="MIDCAP50",TRUE(),IF(ISNUMBER(Fundamentals!B23),SUMPRODUCT(($D$2:$D$151="SMALLCAP100")*ISNUMBER(Fundamentals!$B$2:$B$151)*(Fundamentals!$B$2:$B$151&gt;Fundamentals!B23))+1&lt;=50,FALSE()))</f>
        <v>1</v>
      </c>
    </row>
    <row r="24" customFormat="false" ht="15" hidden="false" customHeight="false" outlineLevel="0" collapsed="false">
      <c r="A24" s="3" t="s">
        <v>126</v>
      </c>
      <c r="B24" s="3" t="s">
        <v>127</v>
      </c>
      <c r="C24" s="3" t="s">
        <v>128</v>
      </c>
      <c r="D24" s="3" t="s">
        <v>73</v>
      </c>
      <c r="E24" s="3" t="str">
        <f aca="false">A24&amp;".NS"</f>
        <v>INDUSTOWER.NS</v>
      </c>
      <c r="F24" s="13" t="b">
        <f aca="false">IF(D24="MIDCAP50",TRUE(),IF(ISNUMBER(Fundamentals!B24),SUMPRODUCT(($D$2:$D$151="SMALLCAP100")*ISNUMBER(Fundamentals!$B$2:$B$151)*(Fundamentals!$B$2:$B$151&gt;Fundamentals!B24))+1&lt;=50,FALSE()))</f>
        <v>1</v>
      </c>
    </row>
    <row r="25" customFormat="false" ht="15" hidden="false" customHeight="false" outlineLevel="0" collapsed="false">
      <c r="A25" s="3" t="s">
        <v>129</v>
      </c>
      <c r="B25" s="3" t="s">
        <v>130</v>
      </c>
      <c r="C25" s="3" t="s">
        <v>76</v>
      </c>
      <c r="D25" s="3" t="s">
        <v>73</v>
      </c>
      <c r="E25" s="3" t="str">
        <f aca="false">A25&amp;".NS"</f>
        <v>INDUSINDBK.NS</v>
      </c>
      <c r="F25" s="13" t="b">
        <f aca="false">IF(D25="MIDCAP50",TRUE(),IF(ISNUMBER(Fundamentals!B25),SUMPRODUCT(($D$2:$D$151="SMALLCAP100")*ISNUMBER(Fundamentals!$B$2:$B$151)*(Fundamentals!$B$2:$B$151&gt;Fundamentals!B25))+1&lt;=50,FALSE()))</f>
        <v>1</v>
      </c>
    </row>
    <row r="26" customFormat="false" ht="15" hidden="false" customHeight="false" outlineLevel="0" collapsed="false">
      <c r="A26" s="3" t="s">
        <v>131</v>
      </c>
      <c r="B26" s="3" t="s">
        <v>132</v>
      </c>
      <c r="C26" s="3" t="s">
        <v>104</v>
      </c>
      <c r="D26" s="3" t="s">
        <v>73</v>
      </c>
      <c r="E26" s="3" t="str">
        <f aca="false">A26&amp;".NS"</f>
        <v>NAUKRI.NS</v>
      </c>
      <c r="F26" s="13" t="b">
        <f aca="false">IF(D26="MIDCAP50",TRUE(),IF(ISNUMBER(Fundamentals!B26),SUMPRODUCT(($D$2:$D$151="SMALLCAP100")*ISNUMBER(Fundamentals!$B$2:$B$151)*(Fundamentals!$B$2:$B$151&gt;Fundamentals!B26))+1&lt;=50,FALSE()))</f>
        <v>1</v>
      </c>
    </row>
    <row r="27" customFormat="false" ht="15" hidden="false" customHeight="false" outlineLevel="0" collapsed="false">
      <c r="A27" s="3" t="s">
        <v>133</v>
      </c>
      <c r="B27" s="3" t="s">
        <v>134</v>
      </c>
      <c r="C27" s="3" t="s">
        <v>79</v>
      </c>
      <c r="D27" s="3" t="s">
        <v>73</v>
      </c>
      <c r="E27" s="3" t="str">
        <f aca="false">A27&amp;".NS"</f>
        <v>LAURUSLABS.NS</v>
      </c>
      <c r="F27" s="13" t="b">
        <f aca="false">IF(D27="MIDCAP50",TRUE(),IF(ISNUMBER(Fundamentals!B27),SUMPRODUCT(($D$2:$D$151="SMALLCAP100")*ISNUMBER(Fundamentals!$B$2:$B$151)*(Fundamentals!$B$2:$B$151&gt;Fundamentals!B27))+1&lt;=50,FALSE()))</f>
        <v>1</v>
      </c>
    </row>
    <row r="28" customFormat="false" ht="15" hidden="false" customHeight="false" outlineLevel="0" collapsed="false">
      <c r="A28" s="3" t="s">
        <v>135</v>
      </c>
      <c r="B28" s="3" t="s">
        <v>136</v>
      </c>
      <c r="C28" s="3" t="s">
        <v>79</v>
      </c>
      <c r="D28" s="3" t="s">
        <v>73</v>
      </c>
      <c r="E28" s="3" t="str">
        <f aca="false">A28&amp;".NS"</f>
        <v>LUPIN.NS</v>
      </c>
      <c r="F28" s="13" t="b">
        <f aca="false">IF(D28="MIDCAP50",TRUE(),IF(ISNUMBER(Fundamentals!B28),SUMPRODUCT(($D$2:$D$151="SMALLCAP100")*ISNUMBER(Fundamentals!$B$2:$B$151)*(Fundamentals!$B$2:$B$151&gt;Fundamentals!B28))+1&lt;=50,FALSE()))</f>
        <v>1</v>
      </c>
    </row>
    <row r="29" customFormat="false" ht="15" hidden="false" customHeight="false" outlineLevel="0" collapsed="false">
      <c r="A29" s="3" t="s">
        <v>137</v>
      </c>
      <c r="B29" s="3" t="s">
        <v>138</v>
      </c>
      <c r="C29" s="3" t="s">
        <v>79</v>
      </c>
      <c r="D29" s="3" t="s">
        <v>73</v>
      </c>
      <c r="E29" s="3" t="str">
        <f aca="false">A29&amp;".NS"</f>
        <v>MANKIND.NS</v>
      </c>
      <c r="F29" s="13" t="b">
        <f aca="false">IF(D29="MIDCAP50",TRUE(),IF(ISNUMBER(Fundamentals!B29),SUMPRODUCT(($D$2:$D$151="SMALLCAP100")*ISNUMBER(Fundamentals!$B$2:$B$151)*(Fundamentals!$B$2:$B$151&gt;Fundamentals!B29))+1&lt;=50,FALSE()))</f>
        <v>1</v>
      </c>
    </row>
    <row r="30" customFormat="false" ht="15" hidden="false" customHeight="false" outlineLevel="0" collapsed="false">
      <c r="A30" s="3" t="s">
        <v>139</v>
      </c>
      <c r="B30" s="3" t="s">
        <v>140</v>
      </c>
      <c r="C30" s="3" t="s">
        <v>96</v>
      </c>
      <c r="D30" s="3" t="s">
        <v>73</v>
      </c>
      <c r="E30" s="3" t="str">
        <f aca="false">A30&amp;".NS"</f>
        <v>MARICO.NS</v>
      </c>
      <c r="F30" s="13" t="b">
        <f aca="false">IF(D30="MIDCAP50",TRUE(),IF(ISNUMBER(Fundamentals!B30),SUMPRODUCT(($D$2:$D$151="SMALLCAP100")*ISNUMBER(Fundamentals!$B$2:$B$151)*(Fundamentals!$B$2:$B$151&gt;Fundamentals!B30))+1&lt;=50,FALSE()))</f>
        <v>1</v>
      </c>
    </row>
    <row r="31" customFormat="false" ht="15" hidden="false" customHeight="false" outlineLevel="0" collapsed="false">
      <c r="A31" s="3" t="s">
        <v>141</v>
      </c>
      <c r="B31" s="3" t="s">
        <v>142</v>
      </c>
      <c r="C31" s="3" t="s">
        <v>76</v>
      </c>
      <c r="D31" s="3" t="s">
        <v>73</v>
      </c>
      <c r="E31" s="3" t="str">
        <f aca="false">A31&amp;".NS"</f>
        <v>MFSL.NS</v>
      </c>
      <c r="F31" s="13" t="b">
        <f aca="false">IF(D31="MIDCAP50",TRUE(),IF(ISNUMBER(Fundamentals!B31),SUMPRODUCT(($D$2:$D$151="SMALLCAP100")*ISNUMBER(Fundamentals!$B$2:$B$151)*(Fundamentals!$B$2:$B$151&gt;Fundamentals!B31))+1&lt;=50,FALSE()))</f>
        <v>1</v>
      </c>
    </row>
    <row r="32" customFormat="false" ht="15" hidden="false" customHeight="false" outlineLevel="0" collapsed="false">
      <c r="A32" s="3" t="s">
        <v>143</v>
      </c>
      <c r="B32" s="3" t="s">
        <v>144</v>
      </c>
      <c r="C32" s="3" t="s">
        <v>93</v>
      </c>
      <c r="D32" s="3" t="s">
        <v>73</v>
      </c>
      <c r="E32" s="3" t="str">
        <f aca="false">A32&amp;".NS"</f>
        <v>MPHASIS.NS</v>
      </c>
      <c r="F32" s="13" t="b">
        <f aca="false">IF(D32="MIDCAP50",TRUE(),IF(ISNUMBER(Fundamentals!B32),SUMPRODUCT(($D$2:$D$151="SMALLCAP100")*ISNUMBER(Fundamentals!$B$2:$B$151)*(Fundamentals!$B$2:$B$151&gt;Fundamentals!B32))+1&lt;=50,FALSE()))</f>
        <v>1</v>
      </c>
    </row>
    <row r="33" customFormat="false" ht="15" hidden="false" customHeight="false" outlineLevel="0" collapsed="false">
      <c r="A33" s="3" t="s">
        <v>145</v>
      </c>
      <c r="B33" s="3" t="s">
        <v>146</v>
      </c>
      <c r="C33" s="3" t="s">
        <v>76</v>
      </c>
      <c r="D33" s="3" t="s">
        <v>73</v>
      </c>
      <c r="E33" s="3" t="str">
        <f aca="false">A33&amp;".NS"</f>
        <v>MCX.NS</v>
      </c>
      <c r="F33" s="13" t="b">
        <f aca="false">IF(D33="MIDCAP50",TRUE(),IF(ISNUMBER(Fundamentals!B33),SUMPRODUCT(($D$2:$D$151="SMALLCAP100")*ISNUMBER(Fundamentals!$B$2:$B$151)*(Fundamentals!$B$2:$B$151&gt;Fundamentals!B33))+1&lt;=50,FALSE()))</f>
        <v>1</v>
      </c>
    </row>
    <row r="34" customFormat="false" ht="15" hidden="false" customHeight="false" outlineLevel="0" collapsed="false">
      <c r="A34" s="3" t="s">
        <v>147</v>
      </c>
      <c r="B34" s="3" t="s">
        <v>148</v>
      </c>
      <c r="C34" s="3" t="s">
        <v>149</v>
      </c>
      <c r="D34" s="3" t="s">
        <v>73</v>
      </c>
      <c r="E34" s="3" t="str">
        <f aca="false">A34&amp;".NS"</f>
        <v>NHPC.NS</v>
      </c>
      <c r="F34" s="13" t="b">
        <f aca="false">IF(D34="MIDCAP50",TRUE(),IF(ISNUMBER(Fundamentals!B34),SUMPRODUCT(($D$2:$D$151="SMALLCAP100")*ISNUMBER(Fundamentals!$B$2:$B$151)*(Fundamentals!$B$2:$B$151&gt;Fundamentals!B34))+1&lt;=50,FALSE()))</f>
        <v>1</v>
      </c>
    </row>
    <row r="35" customFormat="false" ht="15" hidden="false" customHeight="false" outlineLevel="0" collapsed="false">
      <c r="A35" s="3" t="s">
        <v>150</v>
      </c>
      <c r="B35" s="3" t="s">
        <v>151</v>
      </c>
      <c r="C35" s="3" t="s">
        <v>152</v>
      </c>
      <c r="D35" s="3" t="s">
        <v>73</v>
      </c>
      <c r="E35" s="3" t="str">
        <f aca="false">A35&amp;".NS"</f>
        <v>NMDC.NS</v>
      </c>
      <c r="F35" s="13" t="b">
        <f aca="false">IF(D35="MIDCAP50",TRUE(),IF(ISNUMBER(Fundamentals!B35),SUMPRODUCT(($D$2:$D$151="SMALLCAP100")*ISNUMBER(Fundamentals!$B$2:$B$151)*(Fundamentals!$B$2:$B$151&gt;Fundamentals!B35))+1&lt;=50,FALSE()))</f>
        <v>1</v>
      </c>
    </row>
    <row r="36" customFormat="false" ht="15" hidden="false" customHeight="false" outlineLevel="0" collapsed="false">
      <c r="A36" s="3" t="s">
        <v>153</v>
      </c>
      <c r="B36" s="3" t="s">
        <v>154</v>
      </c>
      <c r="C36" s="3" t="s">
        <v>121</v>
      </c>
      <c r="D36" s="3" t="s">
        <v>73</v>
      </c>
      <c r="E36" s="3" t="str">
        <f aca="false">A36&amp;".NS"</f>
        <v>OIL.NS</v>
      </c>
      <c r="F36" s="13" t="b">
        <f aca="false">IF(D36="MIDCAP50",TRUE(),IF(ISNUMBER(Fundamentals!B36),SUMPRODUCT(($D$2:$D$151="SMALLCAP100")*ISNUMBER(Fundamentals!$B$2:$B$151)*(Fundamentals!$B$2:$B$151&gt;Fundamentals!B36))+1&lt;=50,FALSE()))</f>
        <v>1</v>
      </c>
    </row>
    <row r="37" customFormat="false" ht="15" hidden="false" customHeight="false" outlineLevel="0" collapsed="false">
      <c r="A37" s="3" t="s">
        <v>155</v>
      </c>
      <c r="B37" s="3" t="s">
        <v>156</v>
      </c>
      <c r="C37" s="3" t="s">
        <v>76</v>
      </c>
      <c r="D37" s="3" t="s">
        <v>73</v>
      </c>
      <c r="E37" s="3" t="str">
        <f aca="false">A37&amp;".NS"</f>
        <v>PAYTM.NS</v>
      </c>
      <c r="F37" s="13" t="b">
        <f aca="false">IF(D37="MIDCAP50",TRUE(),IF(ISNUMBER(Fundamentals!B37),SUMPRODUCT(($D$2:$D$151="SMALLCAP100")*ISNUMBER(Fundamentals!$B$2:$B$151)*(Fundamentals!$B$2:$B$151&gt;Fundamentals!B37))+1&lt;=50,FALSE()))</f>
        <v>1</v>
      </c>
    </row>
    <row r="38" customFormat="false" ht="15" hidden="false" customHeight="false" outlineLevel="0" collapsed="false">
      <c r="A38" s="3" t="s">
        <v>157</v>
      </c>
      <c r="B38" s="3" t="s">
        <v>158</v>
      </c>
      <c r="C38" s="3" t="s">
        <v>76</v>
      </c>
      <c r="D38" s="3" t="s">
        <v>73</v>
      </c>
      <c r="E38" s="3" t="str">
        <f aca="false">A38&amp;".NS"</f>
        <v>POLICYBZR.NS</v>
      </c>
      <c r="F38" s="13" t="b">
        <f aca="false">IF(D38="MIDCAP50",TRUE(),IF(ISNUMBER(Fundamentals!B38),SUMPRODUCT(($D$2:$D$151="SMALLCAP100")*ISNUMBER(Fundamentals!$B$2:$B$151)*(Fundamentals!$B$2:$B$151&gt;Fundamentals!B38))+1&lt;=50,FALSE()))</f>
        <v>1</v>
      </c>
    </row>
    <row r="39" customFormat="false" ht="15" hidden="false" customHeight="false" outlineLevel="0" collapsed="false">
      <c r="A39" s="3" t="s">
        <v>159</v>
      </c>
      <c r="B39" s="3" t="s">
        <v>160</v>
      </c>
      <c r="C39" s="3" t="s">
        <v>93</v>
      </c>
      <c r="D39" s="3" t="s">
        <v>73</v>
      </c>
      <c r="E39" s="3" t="str">
        <f aca="false">A39&amp;".NS"</f>
        <v>PERSISTENT.NS</v>
      </c>
      <c r="F39" s="13" t="b">
        <f aca="false">IF(D39="MIDCAP50",TRUE(),IF(ISNUMBER(Fundamentals!B39),SUMPRODUCT(($D$2:$D$151="SMALLCAP100")*ISNUMBER(Fundamentals!$B$2:$B$151)*(Fundamentals!$B$2:$B$151&gt;Fundamentals!B39))+1&lt;=50,FALSE()))</f>
        <v>1</v>
      </c>
    </row>
    <row r="40" customFormat="false" ht="15" hidden="false" customHeight="false" outlineLevel="0" collapsed="false">
      <c r="A40" s="3" t="s">
        <v>161</v>
      </c>
      <c r="B40" s="3" t="s">
        <v>162</v>
      </c>
      <c r="C40" s="3" t="s">
        <v>114</v>
      </c>
      <c r="D40" s="3" t="s">
        <v>73</v>
      </c>
      <c r="E40" s="3" t="str">
        <f aca="false">A40&amp;".NS"</f>
        <v>PHOENIXLTD.NS</v>
      </c>
      <c r="F40" s="13" t="b">
        <f aca="false">IF(D40="MIDCAP50",TRUE(),IF(ISNUMBER(Fundamentals!B40),SUMPRODUCT(($D$2:$D$151="SMALLCAP100")*ISNUMBER(Fundamentals!$B$2:$B$151)*(Fundamentals!$B$2:$B$151&gt;Fundamentals!B40))+1&lt;=50,FALSE()))</f>
        <v>1</v>
      </c>
    </row>
    <row r="41" customFormat="false" ht="15" hidden="false" customHeight="false" outlineLevel="0" collapsed="false">
      <c r="A41" s="3" t="s">
        <v>163</v>
      </c>
      <c r="B41" s="3" t="s">
        <v>164</v>
      </c>
      <c r="C41" s="3" t="s">
        <v>72</v>
      </c>
      <c r="D41" s="3" t="s">
        <v>73</v>
      </c>
      <c r="E41" s="3" t="str">
        <f aca="false">A41&amp;".NS"</f>
        <v>POLYCAB.NS</v>
      </c>
      <c r="F41" s="13" t="b">
        <f aca="false">IF(D41="MIDCAP50",TRUE(),IF(ISNUMBER(Fundamentals!B41),SUMPRODUCT(($D$2:$D$151="SMALLCAP100")*ISNUMBER(Fundamentals!$B$2:$B$151)*(Fundamentals!$B$2:$B$151&gt;Fundamentals!B41))+1&lt;=50,FALSE()))</f>
        <v>1</v>
      </c>
    </row>
    <row r="42" customFormat="false" ht="15" hidden="false" customHeight="false" outlineLevel="0" collapsed="false">
      <c r="A42" s="3" t="s">
        <v>165</v>
      </c>
      <c r="B42" s="3" t="s">
        <v>166</v>
      </c>
      <c r="C42" s="3" t="s">
        <v>114</v>
      </c>
      <c r="D42" s="3" t="s">
        <v>73</v>
      </c>
      <c r="E42" s="3" t="str">
        <f aca="false">A42&amp;".NS"</f>
        <v>PRESTIGE.NS</v>
      </c>
      <c r="F42" s="13" t="b">
        <f aca="false">IF(D42="MIDCAP50",TRUE(),IF(ISNUMBER(Fundamentals!B42),SUMPRODUCT(($D$2:$D$151="SMALLCAP100")*ISNUMBER(Fundamentals!$B$2:$B$151)*(Fundamentals!$B$2:$B$151&gt;Fundamentals!B42))+1&lt;=50,FALSE()))</f>
        <v>1</v>
      </c>
    </row>
    <row r="43" customFormat="false" ht="15" hidden="false" customHeight="false" outlineLevel="0" collapsed="false">
      <c r="A43" s="3" t="s">
        <v>167</v>
      </c>
      <c r="B43" s="3" t="s">
        <v>168</v>
      </c>
      <c r="C43" s="3" t="s">
        <v>76</v>
      </c>
      <c r="D43" s="3" t="s">
        <v>73</v>
      </c>
      <c r="E43" s="3" t="str">
        <f aca="false">A43&amp;".NS"</f>
        <v>SBICARD.NS</v>
      </c>
      <c r="F43" s="13" t="b">
        <f aca="false">IF(D43="MIDCAP50",TRUE(),IF(ISNUMBER(Fundamentals!B43),SUMPRODUCT(($D$2:$D$151="SMALLCAP100")*ISNUMBER(Fundamentals!$B$2:$B$151)*(Fundamentals!$B$2:$B$151&gt;Fundamentals!B43))+1&lt;=50,FALSE()))</f>
        <v>1</v>
      </c>
    </row>
    <row r="44" customFormat="false" ht="15" hidden="false" customHeight="false" outlineLevel="0" collapsed="false">
      <c r="A44" s="3" t="s">
        <v>169</v>
      </c>
      <c r="B44" s="3" t="s">
        <v>170</v>
      </c>
      <c r="C44" s="3" t="s">
        <v>171</v>
      </c>
      <c r="D44" s="3" t="s">
        <v>73</v>
      </c>
      <c r="E44" s="3" t="str">
        <f aca="false">A44&amp;".NS"</f>
        <v>SRF.NS</v>
      </c>
      <c r="F44" s="13" t="b">
        <f aca="false">IF(D44="MIDCAP50",TRUE(),IF(ISNUMBER(Fundamentals!B44),SUMPRODUCT(($D$2:$D$151="SMALLCAP100")*ISNUMBER(Fundamentals!$B$2:$B$151)*(Fundamentals!$B$2:$B$151&gt;Fundamentals!B44))+1&lt;=50,FALSE()))</f>
        <v>1</v>
      </c>
    </row>
    <row r="45" customFormat="false" ht="15" hidden="false" customHeight="false" outlineLevel="0" collapsed="false">
      <c r="A45" s="3" t="s">
        <v>172</v>
      </c>
      <c r="B45" s="3" t="s">
        <v>173</v>
      </c>
      <c r="C45" s="3" t="s">
        <v>72</v>
      </c>
      <c r="D45" s="3" t="s">
        <v>73</v>
      </c>
      <c r="E45" s="3" t="str">
        <f aca="false">A45&amp;".NS"</f>
        <v>SUPREMEIND.NS</v>
      </c>
      <c r="F45" s="13" t="b">
        <f aca="false">IF(D45="MIDCAP50",TRUE(),IF(ISNUMBER(Fundamentals!B45),SUMPRODUCT(($D$2:$D$151="SMALLCAP100")*ISNUMBER(Fundamentals!$B$2:$B$151)*(Fundamentals!$B$2:$B$151&gt;Fundamentals!B45))+1&lt;=50,FALSE()))</f>
        <v>1</v>
      </c>
    </row>
    <row r="46" customFormat="false" ht="15" hidden="false" customHeight="false" outlineLevel="0" collapsed="false">
      <c r="A46" s="3" t="s">
        <v>174</v>
      </c>
      <c r="B46" s="3" t="s">
        <v>175</v>
      </c>
      <c r="C46" s="3" t="s">
        <v>72</v>
      </c>
      <c r="D46" s="3" t="s">
        <v>73</v>
      </c>
      <c r="E46" s="3" t="str">
        <f aca="false">A46&amp;".NS"</f>
        <v>SUZLON.NS</v>
      </c>
      <c r="F46" s="13" t="b">
        <f aca="false">IF(D46="MIDCAP50",TRUE(),IF(ISNUMBER(Fundamentals!B46),SUMPRODUCT(($D$2:$D$151="SMALLCAP100")*ISNUMBER(Fundamentals!$B$2:$B$151)*(Fundamentals!$B$2:$B$151&gt;Fundamentals!B46))+1&lt;=50,FALSE()))</f>
        <v>1</v>
      </c>
    </row>
    <row r="47" customFormat="false" ht="15" hidden="false" customHeight="false" outlineLevel="0" collapsed="false">
      <c r="A47" s="3" t="s">
        <v>176</v>
      </c>
      <c r="B47" s="3" t="s">
        <v>177</v>
      </c>
      <c r="C47" s="3" t="s">
        <v>104</v>
      </c>
      <c r="D47" s="3" t="s">
        <v>73</v>
      </c>
      <c r="E47" s="3" t="str">
        <f aca="false">A47&amp;".NS"</f>
        <v>SWIGGY.NS</v>
      </c>
      <c r="F47" s="13" t="b">
        <f aca="false">IF(D47="MIDCAP50",TRUE(),IF(ISNUMBER(Fundamentals!B47),SUMPRODUCT(($D$2:$D$151="SMALLCAP100")*ISNUMBER(Fundamentals!$B$2:$B$151)*(Fundamentals!$B$2:$B$151&gt;Fundamentals!B47))+1&lt;=50,FALSE()))</f>
        <v>1</v>
      </c>
    </row>
    <row r="48" customFormat="false" ht="15" hidden="false" customHeight="false" outlineLevel="0" collapsed="false">
      <c r="A48" s="3" t="s">
        <v>178</v>
      </c>
      <c r="B48" s="3" t="s">
        <v>179</v>
      </c>
      <c r="C48" s="3" t="s">
        <v>88</v>
      </c>
      <c r="D48" s="3" t="s">
        <v>73</v>
      </c>
      <c r="E48" s="3" t="str">
        <f aca="false">A48&amp;".NS"</f>
        <v>TIINDIA.NS</v>
      </c>
      <c r="F48" s="13" t="b">
        <f aca="false">IF(D48="MIDCAP50",TRUE(),IF(ISNUMBER(Fundamentals!B48),SUMPRODUCT(($D$2:$D$151="SMALLCAP100")*ISNUMBER(Fundamentals!$B$2:$B$151)*(Fundamentals!$B$2:$B$151&gt;Fundamentals!B48))+1&lt;=50,FALSE()))</f>
        <v>1</v>
      </c>
    </row>
    <row r="49" customFormat="false" ht="15" hidden="false" customHeight="false" outlineLevel="0" collapsed="false">
      <c r="A49" s="3" t="s">
        <v>180</v>
      </c>
      <c r="B49" s="3" t="s">
        <v>181</v>
      </c>
      <c r="C49" s="3" t="s">
        <v>171</v>
      </c>
      <c r="D49" s="3" t="s">
        <v>73</v>
      </c>
      <c r="E49" s="3" t="str">
        <f aca="false">A49&amp;".NS"</f>
        <v>UPL.NS</v>
      </c>
      <c r="F49" s="13" t="b">
        <f aca="false">IF(D49="MIDCAP50",TRUE(),IF(ISNUMBER(Fundamentals!B49),SUMPRODUCT(($D$2:$D$151="SMALLCAP100")*ISNUMBER(Fundamentals!$B$2:$B$151)*(Fundamentals!$B$2:$B$151&gt;Fundamentals!B49))+1&lt;=50,FALSE()))</f>
        <v>1</v>
      </c>
    </row>
    <row r="50" customFormat="false" ht="15" hidden="false" customHeight="false" outlineLevel="0" collapsed="false">
      <c r="A50" s="3" t="s">
        <v>182</v>
      </c>
      <c r="B50" s="3" t="s">
        <v>183</v>
      </c>
      <c r="C50" s="3" t="s">
        <v>72</v>
      </c>
      <c r="D50" s="3" t="s">
        <v>73</v>
      </c>
      <c r="E50" s="3" t="str">
        <f aca="false">A50&amp;".NS"</f>
        <v>WAAREEENER.NS</v>
      </c>
      <c r="F50" s="13" t="b">
        <f aca="false">IF(D50="MIDCAP50",TRUE(),IF(ISNUMBER(Fundamentals!B50),SUMPRODUCT(($D$2:$D$151="SMALLCAP100")*ISNUMBER(Fundamentals!$B$2:$B$151)*(Fundamentals!$B$2:$B$151&gt;Fundamentals!B50))+1&lt;=50,FALSE()))</f>
        <v>1</v>
      </c>
    </row>
    <row r="51" customFormat="false" ht="15" hidden="false" customHeight="false" outlineLevel="0" collapsed="false">
      <c r="A51" s="3" t="s">
        <v>184</v>
      </c>
      <c r="B51" s="3" t="s">
        <v>185</v>
      </c>
      <c r="C51" s="3" t="s">
        <v>76</v>
      </c>
      <c r="D51" s="3" t="s">
        <v>73</v>
      </c>
      <c r="E51" s="3" t="str">
        <f aca="false">A51&amp;".NS"</f>
        <v>YESBANK.NS</v>
      </c>
      <c r="F51" s="13" t="b">
        <f aca="false">IF(D51="MIDCAP50",TRUE(),IF(ISNUMBER(Fundamentals!B51),SUMPRODUCT(($D$2:$D$151="SMALLCAP100")*ISNUMBER(Fundamentals!$B$2:$B$151)*(Fundamentals!$B$2:$B$151&gt;Fundamentals!B51))+1&lt;=50,FALSE()))</f>
        <v>1</v>
      </c>
    </row>
    <row r="52" customFormat="false" ht="15" hidden="false" customHeight="false" outlineLevel="0" collapsed="false">
      <c r="A52" s="3" t="s">
        <v>186</v>
      </c>
      <c r="B52" s="3" t="s">
        <v>187</v>
      </c>
      <c r="C52" s="3" t="s">
        <v>171</v>
      </c>
      <c r="D52" s="3" t="s">
        <v>188</v>
      </c>
      <c r="E52" s="3" t="str">
        <f aca="false">A52&amp;".NS"</f>
        <v>AARTIIND.NS</v>
      </c>
      <c r="F52" s="13" t="b">
        <f aca="false">IF(D52="MIDCAP50",TRUE(),IF(ISNUMBER(Fundamentals!B52),SUMPRODUCT(($D$2:$D$151="SMALLCAP100")*ISNUMBER(Fundamentals!$B$2:$B$151)*(Fundamentals!$B$2:$B$151&gt;Fundamentals!B52))+1&lt;=50,FALSE()))</f>
        <v>0</v>
      </c>
    </row>
    <row r="53" customFormat="false" ht="15" hidden="false" customHeight="false" outlineLevel="0" collapsed="false">
      <c r="A53" s="3" t="s">
        <v>189</v>
      </c>
      <c r="B53" s="3" t="s">
        <v>190</v>
      </c>
      <c r="C53" s="3" t="s">
        <v>114</v>
      </c>
      <c r="D53" s="3" t="s">
        <v>188</v>
      </c>
      <c r="E53" s="3" t="str">
        <f aca="false">A53&amp;".NS"</f>
        <v>ABREL.NS</v>
      </c>
      <c r="F53" s="13" t="b">
        <f aca="false">IF(D53="MIDCAP50",TRUE(),IF(ISNUMBER(Fundamentals!B53),SUMPRODUCT(($D$2:$D$151="SMALLCAP100")*ISNUMBER(Fundamentals!$B$2:$B$151)*(Fundamentals!$B$2:$B$151&gt;Fundamentals!B53))+1&lt;=50,FALSE()))</f>
        <v>0</v>
      </c>
    </row>
    <row r="54" customFormat="false" ht="15" hidden="false" customHeight="false" outlineLevel="0" collapsed="false">
      <c r="A54" s="3" t="s">
        <v>191</v>
      </c>
      <c r="B54" s="3" t="s">
        <v>192</v>
      </c>
      <c r="C54" s="3" t="s">
        <v>121</v>
      </c>
      <c r="D54" s="3" t="s">
        <v>188</v>
      </c>
      <c r="E54" s="3" t="str">
        <f aca="false">A54&amp;".NS"</f>
        <v>AEGISLOG.NS</v>
      </c>
      <c r="F54" s="13" t="b">
        <f aca="false">IF(D54="MIDCAP50",TRUE(),IF(ISNUMBER(Fundamentals!B54),SUMPRODUCT(($D$2:$D$151="SMALLCAP100")*ISNUMBER(Fundamentals!$B$2:$B$151)*(Fundamentals!$B$2:$B$151&gt;Fundamentals!B54))+1&lt;=50,FALSE()))</f>
        <v>0</v>
      </c>
    </row>
    <row r="55" customFormat="false" ht="15" hidden="false" customHeight="false" outlineLevel="0" collapsed="false">
      <c r="A55" s="3" t="s">
        <v>193</v>
      </c>
      <c r="B55" s="3" t="s">
        <v>194</v>
      </c>
      <c r="C55" s="3" t="s">
        <v>195</v>
      </c>
      <c r="D55" s="3" t="s">
        <v>188</v>
      </c>
      <c r="E55" s="3" t="str">
        <f aca="false">A55&amp;".NS"</f>
        <v>AFCONS.NS</v>
      </c>
      <c r="F55" s="13" t="b">
        <f aca="false">IF(D55="MIDCAP50",TRUE(),IF(ISNUMBER(Fundamentals!B55),SUMPRODUCT(($D$2:$D$151="SMALLCAP100")*ISNUMBER(Fundamentals!$B$2:$B$151)*(Fundamentals!$B$2:$B$151&gt;Fundamentals!B55))+1&lt;=50,FALSE()))</f>
        <v>0</v>
      </c>
    </row>
    <row r="56" customFormat="false" ht="15" hidden="false" customHeight="false" outlineLevel="0" collapsed="false">
      <c r="A56" s="3" t="s">
        <v>196</v>
      </c>
      <c r="B56" s="3" t="s">
        <v>197</v>
      </c>
      <c r="C56" s="3" t="s">
        <v>93</v>
      </c>
      <c r="D56" s="3" t="s">
        <v>188</v>
      </c>
      <c r="E56" s="3" t="str">
        <f aca="false">A56&amp;".NS"</f>
        <v>AFFLE.NS</v>
      </c>
      <c r="F56" s="13" t="b">
        <f aca="false">IF(D56="MIDCAP50",TRUE(),IF(ISNUMBER(Fundamentals!B56),SUMPRODUCT(($D$2:$D$151="SMALLCAP100")*ISNUMBER(Fundamentals!$B$2:$B$151)*(Fundamentals!$B$2:$B$151&gt;Fundamentals!B56))+1&lt;=50,FALSE()))</f>
        <v>0</v>
      </c>
    </row>
    <row r="57" customFormat="false" ht="15" hidden="false" customHeight="false" outlineLevel="0" collapsed="false">
      <c r="A57" s="3" t="s">
        <v>198</v>
      </c>
      <c r="B57" s="3" t="s">
        <v>199</v>
      </c>
      <c r="C57" s="3" t="s">
        <v>88</v>
      </c>
      <c r="D57" s="3" t="s">
        <v>188</v>
      </c>
      <c r="E57" s="3" t="str">
        <f aca="false">A57&amp;".NS"</f>
        <v>ARE&amp;M.NS</v>
      </c>
      <c r="F57" s="13" t="b">
        <f aca="false">IF(D57="MIDCAP50",TRUE(),IF(ISNUMBER(Fundamentals!B57),SUMPRODUCT(($D$2:$D$151="SMALLCAP100")*ISNUMBER(Fundamentals!$B$2:$B$151)*(Fundamentals!$B$2:$B$151&gt;Fundamentals!B57))+1&lt;=50,FALSE()))</f>
        <v>0</v>
      </c>
    </row>
    <row r="58" customFormat="false" ht="15" hidden="false" customHeight="false" outlineLevel="0" collapsed="false">
      <c r="A58" s="3" t="s">
        <v>200</v>
      </c>
      <c r="B58" s="3" t="s">
        <v>201</v>
      </c>
      <c r="C58" s="3" t="s">
        <v>101</v>
      </c>
      <c r="D58" s="3" t="s">
        <v>188</v>
      </c>
      <c r="E58" s="3" t="str">
        <f aca="false">A58&amp;".NS"</f>
        <v>AMBER.NS</v>
      </c>
      <c r="F58" s="13" t="b">
        <f aca="false">IF(D58="MIDCAP50",TRUE(),IF(ISNUMBER(Fundamentals!B58),SUMPRODUCT(($D$2:$D$151="SMALLCAP100")*ISNUMBER(Fundamentals!$B$2:$B$151)*(Fundamentals!$B$2:$B$151&gt;Fundamentals!B58))+1&lt;=50,FALSE()))</f>
        <v>0</v>
      </c>
    </row>
    <row r="59" customFormat="false" ht="15" hidden="false" customHeight="false" outlineLevel="0" collapsed="false">
      <c r="A59" s="3" t="s">
        <v>202</v>
      </c>
      <c r="B59" s="3" t="s">
        <v>203</v>
      </c>
      <c r="C59" s="3" t="s">
        <v>76</v>
      </c>
      <c r="D59" s="3" t="s">
        <v>188</v>
      </c>
      <c r="E59" s="3" t="str">
        <f aca="false">A59&amp;".NS"</f>
        <v>ANANDRATHI.NS</v>
      </c>
      <c r="F59" s="13" t="b">
        <f aca="false">IF(D59="MIDCAP50",TRUE(),IF(ISNUMBER(Fundamentals!B59),SUMPRODUCT(($D$2:$D$151="SMALLCAP100")*ISNUMBER(Fundamentals!$B$2:$B$151)*(Fundamentals!$B$2:$B$151&gt;Fundamentals!B59))+1&lt;=50,FALSE()))</f>
        <v>0</v>
      </c>
    </row>
    <row r="60" customFormat="false" ht="15" hidden="false" customHeight="false" outlineLevel="0" collapsed="false">
      <c r="A60" s="3" t="s">
        <v>204</v>
      </c>
      <c r="B60" s="3" t="s">
        <v>205</v>
      </c>
      <c r="C60" s="3" t="s">
        <v>114</v>
      </c>
      <c r="D60" s="3" t="s">
        <v>188</v>
      </c>
      <c r="E60" s="3" t="str">
        <f aca="false">A60&amp;".NS"</f>
        <v>ANANTRAJ.NS</v>
      </c>
      <c r="F60" s="13" t="b">
        <f aca="false">IF(D60="MIDCAP50",TRUE(),IF(ISNUMBER(Fundamentals!B60),SUMPRODUCT(($D$2:$D$151="SMALLCAP100")*ISNUMBER(Fundamentals!$B$2:$B$151)*(Fundamentals!$B$2:$B$151&gt;Fundamentals!B60))+1&lt;=50,FALSE()))</f>
        <v>0</v>
      </c>
    </row>
    <row r="61" customFormat="false" ht="15" hidden="false" customHeight="false" outlineLevel="0" collapsed="false">
      <c r="A61" s="3" t="s">
        <v>206</v>
      </c>
      <c r="B61" s="3" t="s">
        <v>207</v>
      </c>
      <c r="C61" s="3" t="s">
        <v>76</v>
      </c>
      <c r="D61" s="3" t="s">
        <v>188</v>
      </c>
      <c r="E61" s="3" t="str">
        <f aca="false">A61&amp;".NS"</f>
        <v>ANGELONE.NS</v>
      </c>
      <c r="F61" s="13" t="b">
        <f aca="false">IF(D61="MIDCAP50",TRUE(),IF(ISNUMBER(Fundamentals!B61),SUMPRODUCT(($D$2:$D$151="SMALLCAP100")*ISNUMBER(Fundamentals!$B$2:$B$151)*(Fundamentals!$B$2:$B$151&gt;Fundamentals!B61))+1&lt;=50,FALSE()))</f>
        <v>0</v>
      </c>
    </row>
    <row r="62" customFormat="false" ht="15" hidden="false" customHeight="false" outlineLevel="0" collapsed="false">
      <c r="A62" s="3" t="s">
        <v>208</v>
      </c>
      <c r="B62" s="3" t="s">
        <v>209</v>
      </c>
      <c r="C62" s="3" t="s">
        <v>76</v>
      </c>
      <c r="D62" s="3" t="s">
        <v>188</v>
      </c>
      <c r="E62" s="3" t="str">
        <f aca="false">A62&amp;".NS"</f>
        <v>APTUS.NS</v>
      </c>
      <c r="F62" s="13" t="b">
        <f aca="false">IF(D62="MIDCAP50",TRUE(),IF(ISNUMBER(Fundamentals!B62),SUMPRODUCT(($D$2:$D$151="SMALLCAP100")*ISNUMBER(Fundamentals!$B$2:$B$151)*(Fundamentals!$B$2:$B$151&gt;Fundamentals!B62))+1&lt;=50,FALSE()))</f>
        <v>0</v>
      </c>
    </row>
    <row r="63" customFormat="false" ht="15" hidden="false" customHeight="false" outlineLevel="0" collapsed="false">
      <c r="A63" s="3" t="s">
        <v>210</v>
      </c>
      <c r="B63" s="3" t="s">
        <v>211</v>
      </c>
      <c r="C63" s="3" t="s">
        <v>79</v>
      </c>
      <c r="D63" s="3" t="s">
        <v>188</v>
      </c>
      <c r="E63" s="3" t="str">
        <f aca="false">A63&amp;".NS"</f>
        <v>ASTERDM.NS</v>
      </c>
      <c r="F63" s="13" t="b">
        <f aca="false">IF(D63="MIDCAP50",TRUE(),IF(ISNUMBER(Fundamentals!B63),SUMPRODUCT(($D$2:$D$151="SMALLCAP100")*ISNUMBER(Fundamentals!$B$2:$B$151)*(Fundamentals!$B$2:$B$151&gt;Fundamentals!B63))+1&lt;=50,FALSE()))</f>
        <v>0</v>
      </c>
    </row>
    <row r="64" customFormat="false" ht="15" hidden="false" customHeight="false" outlineLevel="0" collapsed="false">
      <c r="A64" s="3" t="s">
        <v>212</v>
      </c>
      <c r="B64" s="3" t="s">
        <v>213</v>
      </c>
      <c r="C64" s="3" t="s">
        <v>88</v>
      </c>
      <c r="D64" s="3" t="s">
        <v>188</v>
      </c>
      <c r="E64" s="3" t="str">
        <f aca="false">A64&amp;".NS"</f>
        <v>ATHERENERG.NS</v>
      </c>
      <c r="F64" s="13" t="b">
        <f aca="false">IF(D64="MIDCAP50",TRUE(),IF(ISNUMBER(Fundamentals!B64),SUMPRODUCT(($D$2:$D$151="SMALLCAP100")*ISNUMBER(Fundamentals!$B$2:$B$151)*(Fundamentals!$B$2:$B$151&gt;Fundamentals!B64))+1&lt;=50,FALSE()))</f>
        <v>0</v>
      </c>
    </row>
    <row r="65" customFormat="false" ht="15" hidden="false" customHeight="false" outlineLevel="0" collapsed="false">
      <c r="A65" s="3" t="s">
        <v>214</v>
      </c>
      <c r="B65" s="3" t="s">
        <v>215</v>
      </c>
      <c r="C65" s="3" t="s">
        <v>72</v>
      </c>
      <c r="D65" s="3" t="s">
        <v>188</v>
      </c>
      <c r="E65" s="3" t="str">
        <f aca="false">A65&amp;".NS"</f>
        <v>BEML.NS</v>
      </c>
      <c r="F65" s="13" t="b">
        <f aca="false">IF(D65="MIDCAP50",TRUE(),IF(ISNUMBER(Fundamentals!B65),SUMPRODUCT(($D$2:$D$151="SMALLCAP100")*ISNUMBER(Fundamentals!$B$2:$B$151)*(Fundamentals!$B$2:$B$151&gt;Fundamentals!B65))+1&lt;=50,FALSE()))</f>
        <v>0</v>
      </c>
    </row>
    <row r="66" customFormat="false" ht="15" hidden="false" customHeight="false" outlineLevel="0" collapsed="false">
      <c r="A66" s="3" t="s">
        <v>216</v>
      </c>
      <c r="B66" s="3" t="s">
        <v>217</v>
      </c>
      <c r="C66" s="3" t="s">
        <v>104</v>
      </c>
      <c r="D66" s="3" t="s">
        <v>188</v>
      </c>
      <c r="E66" s="3" t="str">
        <f aca="false">A66&amp;".NS"</f>
        <v>BLS.NS</v>
      </c>
      <c r="F66" s="13" t="b">
        <f aca="false">IF(D66="MIDCAP50",TRUE(),IF(ISNUMBER(Fundamentals!B66),SUMPRODUCT(($D$2:$D$151="SMALLCAP100")*ISNUMBER(Fundamentals!$B$2:$B$151)*(Fundamentals!$B$2:$B$151&gt;Fundamentals!B66))+1&lt;=50,FALSE()))</f>
        <v>0</v>
      </c>
    </row>
    <row r="67" customFormat="false" ht="15" hidden="false" customHeight="false" outlineLevel="0" collapsed="false">
      <c r="A67" s="3" t="s">
        <v>218</v>
      </c>
      <c r="B67" s="3" t="s">
        <v>219</v>
      </c>
      <c r="C67" s="3" t="s">
        <v>76</v>
      </c>
      <c r="D67" s="3" t="s">
        <v>188</v>
      </c>
      <c r="E67" s="3" t="str">
        <f aca="false">A67&amp;".NS"</f>
        <v>BANDHANBNK.NS</v>
      </c>
      <c r="F67" s="13" t="b">
        <f aca="false">IF(D67="MIDCAP50",TRUE(),IF(ISNUMBER(Fundamentals!B67),SUMPRODUCT(($D$2:$D$151="SMALLCAP100")*ISNUMBER(Fundamentals!$B$2:$B$151)*(Fundamentals!$B$2:$B$151&gt;Fundamentals!B67))+1&lt;=50,FALSE()))</f>
        <v>0</v>
      </c>
    </row>
    <row r="68" customFormat="false" ht="15" hidden="false" customHeight="false" outlineLevel="0" collapsed="false">
      <c r="A68" s="3" t="s">
        <v>220</v>
      </c>
      <c r="B68" s="3" t="s">
        <v>221</v>
      </c>
      <c r="C68" s="3" t="s">
        <v>104</v>
      </c>
      <c r="D68" s="3" t="s">
        <v>188</v>
      </c>
      <c r="E68" s="3" t="str">
        <f aca="false">A68&amp;".NS"</f>
        <v>FIRSTCRY.NS</v>
      </c>
      <c r="F68" s="13" t="b">
        <f aca="false">IF(D68="MIDCAP50",TRUE(),IF(ISNUMBER(Fundamentals!B68),SUMPRODUCT(($D$2:$D$151="SMALLCAP100")*ISNUMBER(Fundamentals!$B$2:$B$151)*(Fundamentals!$B$2:$B$151&gt;Fundamentals!B68))+1&lt;=50,FALSE()))</f>
        <v>0</v>
      </c>
    </row>
    <row r="69" customFormat="false" ht="15" hidden="false" customHeight="false" outlineLevel="0" collapsed="false">
      <c r="A69" s="3" t="s">
        <v>222</v>
      </c>
      <c r="B69" s="3" t="s">
        <v>223</v>
      </c>
      <c r="C69" s="3" t="s">
        <v>114</v>
      </c>
      <c r="D69" s="3" t="s">
        <v>188</v>
      </c>
      <c r="E69" s="3" t="str">
        <f aca="false">A69&amp;".NS"</f>
        <v>BRIGADE.NS</v>
      </c>
      <c r="F69" s="13" t="b">
        <f aca="false">IF(D69="MIDCAP50",TRUE(),IF(ISNUMBER(Fundamentals!B69),SUMPRODUCT(($D$2:$D$151="SMALLCAP100")*ISNUMBER(Fundamentals!$B$2:$B$151)*(Fundamentals!$B$2:$B$151&gt;Fundamentals!B69))+1&lt;=50,FALSE()))</f>
        <v>0</v>
      </c>
    </row>
    <row r="70" customFormat="false" ht="15" hidden="false" customHeight="false" outlineLevel="0" collapsed="false">
      <c r="A70" s="3" t="s">
        <v>224</v>
      </c>
      <c r="B70" s="3" t="s">
        <v>225</v>
      </c>
      <c r="C70" s="3" t="s">
        <v>149</v>
      </c>
      <c r="D70" s="3" t="s">
        <v>188</v>
      </c>
      <c r="E70" s="3" t="str">
        <f aca="false">A70&amp;".NS"</f>
        <v>CESC.NS</v>
      </c>
      <c r="F70" s="13" t="b">
        <f aca="false">IF(D70="MIDCAP50",TRUE(),IF(ISNUMBER(Fundamentals!B70),SUMPRODUCT(($D$2:$D$151="SMALLCAP100")*ISNUMBER(Fundamentals!$B$2:$B$151)*(Fundamentals!$B$2:$B$151&gt;Fundamentals!B70))+1&lt;=50,FALSE()))</f>
        <v>0</v>
      </c>
    </row>
    <row r="71" customFormat="false" ht="15" hidden="false" customHeight="false" outlineLevel="0" collapsed="false">
      <c r="A71" s="3" t="s">
        <v>226</v>
      </c>
      <c r="B71" s="3" t="s">
        <v>227</v>
      </c>
      <c r="C71" s="3" t="s">
        <v>76</v>
      </c>
      <c r="D71" s="3" t="s">
        <v>188</v>
      </c>
      <c r="E71" s="3" t="str">
        <f aca="false">A71&amp;".NS"</f>
        <v>CGCL.NS</v>
      </c>
      <c r="F71" s="13" t="b">
        <f aca="false">IF(D71="MIDCAP50",TRUE(),IF(ISNUMBER(Fundamentals!B71),SUMPRODUCT(($D$2:$D$151="SMALLCAP100")*ISNUMBER(Fundamentals!$B$2:$B$151)*(Fundamentals!$B$2:$B$151&gt;Fundamentals!B71))+1&lt;=50,FALSE()))</f>
        <v>0</v>
      </c>
    </row>
    <row r="72" customFormat="false" ht="15" hidden="false" customHeight="false" outlineLevel="0" collapsed="false">
      <c r="A72" s="3" t="s">
        <v>228</v>
      </c>
      <c r="B72" s="3" t="s">
        <v>229</v>
      </c>
      <c r="C72" s="3" t="s">
        <v>121</v>
      </c>
      <c r="D72" s="3" t="s">
        <v>188</v>
      </c>
      <c r="E72" s="3" t="str">
        <f aca="false">A72&amp;".NS"</f>
        <v>CASTROLIND.NS</v>
      </c>
      <c r="F72" s="13" t="b">
        <f aca="false">IF(D72="MIDCAP50",TRUE(),IF(ISNUMBER(Fundamentals!B72),SUMPRODUCT(($D$2:$D$151="SMALLCAP100")*ISNUMBER(Fundamentals!$B$2:$B$151)*(Fundamentals!$B$2:$B$151&gt;Fundamentals!B72))+1&lt;=50,FALSE()))</f>
        <v>0</v>
      </c>
    </row>
    <row r="73" customFormat="false" ht="15" hidden="false" customHeight="false" outlineLevel="0" collapsed="false">
      <c r="A73" s="3" t="s">
        <v>230</v>
      </c>
      <c r="B73" s="3" t="s">
        <v>231</v>
      </c>
      <c r="C73" s="3" t="s">
        <v>76</v>
      </c>
      <c r="D73" s="3" t="s">
        <v>188</v>
      </c>
      <c r="E73" s="3" t="str">
        <f aca="false">A73&amp;".NS"</f>
        <v>CDSL.NS</v>
      </c>
      <c r="F73" s="13" t="b">
        <f aca="false">IF(D73="MIDCAP50",TRUE(),IF(ISNUMBER(Fundamentals!B73),SUMPRODUCT(($D$2:$D$151="SMALLCAP100")*ISNUMBER(Fundamentals!$B$2:$B$151)*(Fundamentals!$B$2:$B$151&gt;Fundamentals!B73))+1&lt;=50,FALSE()))</f>
        <v>0</v>
      </c>
    </row>
    <row r="74" customFormat="false" ht="15" hidden="false" customHeight="false" outlineLevel="0" collapsed="false">
      <c r="A74" s="3" t="s">
        <v>232</v>
      </c>
      <c r="B74" s="3" t="s">
        <v>233</v>
      </c>
      <c r="C74" s="3" t="s">
        <v>171</v>
      </c>
      <c r="D74" s="3" t="s">
        <v>188</v>
      </c>
      <c r="E74" s="3" t="str">
        <f aca="false">A74&amp;".NS"</f>
        <v>CHAMBLFERT.NS</v>
      </c>
      <c r="F74" s="13" t="b">
        <f aca="false">IF(D74="MIDCAP50",TRUE(),IF(ISNUMBER(Fundamentals!B74),SUMPRODUCT(($D$2:$D$151="SMALLCAP100")*ISNUMBER(Fundamentals!$B$2:$B$151)*(Fundamentals!$B$2:$B$151&gt;Fundamentals!B74))+1&lt;=50,FALSE()))</f>
        <v>0</v>
      </c>
    </row>
    <row r="75" customFormat="false" ht="15" hidden="false" customHeight="false" outlineLevel="0" collapsed="false">
      <c r="A75" s="3" t="s">
        <v>234</v>
      </c>
      <c r="B75" s="3" t="s">
        <v>235</v>
      </c>
      <c r="C75" s="3" t="s">
        <v>76</v>
      </c>
      <c r="D75" s="3" t="s">
        <v>188</v>
      </c>
      <c r="E75" s="3" t="str">
        <f aca="false">A75&amp;".NS"</f>
        <v>CHOLAHLDNG.NS</v>
      </c>
      <c r="F75" s="13" t="b">
        <f aca="false">IF(D75="MIDCAP50",TRUE(),IF(ISNUMBER(Fundamentals!B75),SUMPRODUCT(($D$2:$D$151="SMALLCAP100")*ISNUMBER(Fundamentals!$B$2:$B$151)*(Fundamentals!$B$2:$B$151&gt;Fundamentals!B75))+1&lt;=50,FALSE()))</f>
        <v>0</v>
      </c>
    </row>
    <row r="76" customFormat="false" ht="15" hidden="false" customHeight="false" outlineLevel="0" collapsed="false">
      <c r="A76" s="3" t="s">
        <v>236</v>
      </c>
      <c r="B76" s="3" t="s">
        <v>237</v>
      </c>
      <c r="C76" s="3" t="s">
        <v>76</v>
      </c>
      <c r="D76" s="3" t="s">
        <v>188</v>
      </c>
      <c r="E76" s="3" t="str">
        <f aca="false">A76&amp;".NS"</f>
        <v>CUB.NS</v>
      </c>
      <c r="F76" s="13" t="b">
        <f aca="false">IF(D76="MIDCAP50",TRUE(),IF(ISNUMBER(Fundamentals!B76),SUMPRODUCT(($D$2:$D$151="SMALLCAP100")*ISNUMBER(Fundamentals!$B$2:$B$151)*(Fundamentals!$B$2:$B$151&gt;Fundamentals!B76))+1&lt;=50,FALSE()))</f>
        <v>0</v>
      </c>
    </row>
    <row r="77" customFormat="false" ht="15" hidden="false" customHeight="false" outlineLevel="0" collapsed="false">
      <c r="A77" s="3" t="s">
        <v>238</v>
      </c>
      <c r="B77" s="3" t="s">
        <v>239</v>
      </c>
      <c r="C77" s="3" t="s">
        <v>79</v>
      </c>
      <c r="D77" s="3" t="s">
        <v>188</v>
      </c>
      <c r="E77" s="3" t="str">
        <f aca="false">A77&amp;".NS"</f>
        <v>COHANCE.NS</v>
      </c>
      <c r="F77" s="13" t="b">
        <f aca="false">IF(D77="MIDCAP50",TRUE(),IF(ISNUMBER(Fundamentals!B77),SUMPRODUCT(($D$2:$D$151="SMALLCAP100")*ISNUMBER(Fundamentals!$B$2:$B$151)*(Fundamentals!$B$2:$B$151&gt;Fundamentals!B77))+1&lt;=50,FALSE()))</f>
        <v>0</v>
      </c>
    </row>
    <row r="78" customFormat="false" ht="15" hidden="false" customHeight="false" outlineLevel="0" collapsed="false">
      <c r="A78" s="3" t="s">
        <v>240</v>
      </c>
      <c r="B78" s="3" t="s">
        <v>241</v>
      </c>
      <c r="C78" s="3" t="s">
        <v>76</v>
      </c>
      <c r="D78" s="3" t="s">
        <v>188</v>
      </c>
      <c r="E78" s="3" t="str">
        <f aca="false">A78&amp;".NS"</f>
        <v>CAMS.NS</v>
      </c>
      <c r="F78" s="13" t="b">
        <f aca="false">IF(D78="MIDCAP50",TRUE(),IF(ISNUMBER(Fundamentals!B78),SUMPRODUCT(($D$2:$D$151="SMALLCAP100")*ISNUMBER(Fundamentals!$B$2:$B$151)*(Fundamentals!$B$2:$B$151&gt;Fundamentals!B78))+1&lt;=50,FALSE()))</f>
        <v>0</v>
      </c>
    </row>
    <row r="79" customFormat="false" ht="15" hidden="false" customHeight="false" outlineLevel="0" collapsed="false">
      <c r="A79" s="3" t="s">
        <v>242</v>
      </c>
      <c r="B79" s="3" t="s">
        <v>243</v>
      </c>
      <c r="C79" s="3" t="s">
        <v>76</v>
      </c>
      <c r="D79" s="3" t="s">
        <v>188</v>
      </c>
      <c r="E79" s="3" t="str">
        <f aca="false">A79&amp;".NS"</f>
        <v>CREDITACC.NS</v>
      </c>
      <c r="F79" s="13" t="b">
        <f aca="false">IF(D79="MIDCAP50",TRUE(),IF(ISNUMBER(Fundamentals!B79),SUMPRODUCT(($D$2:$D$151="SMALLCAP100")*ISNUMBER(Fundamentals!$B$2:$B$151)*(Fundamentals!$B$2:$B$151&gt;Fundamentals!B79))+1&lt;=50,FALSE()))</f>
        <v>0</v>
      </c>
    </row>
    <row r="80" customFormat="false" ht="15" hidden="false" customHeight="false" outlineLevel="0" collapsed="false">
      <c r="A80" s="3" t="s">
        <v>244</v>
      </c>
      <c r="B80" s="3" t="s">
        <v>245</v>
      </c>
      <c r="C80" s="3" t="s">
        <v>101</v>
      </c>
      <c r="D80" s="3" t="s">
        <v>188</v>
      </c>
      <c r="E80" s="3" t="str">
        <f aca="false">A80&amp;".NS"</f>
        <v>CROMPTON.NS</v>
      </c>
      <c r="F80" s="13" t="b">
        <f aca="false">IF(D80="MIDCAP50",TRUE(),IF(ISNUMBER(Fundamentals!B80),SUMPRODUCT(($D$2:$D$151="SMALLCAP100")*ISNUMBER(Fundamentals!$B$2:$B$151)*(Fundamentals!$B$2:$B$151&gt;Fundamentals!B80))+1&lt;=50,FALSE()))</f>
        <v>0</v>
      </c>
    </row>
    <row r="81" customFormat="false" ht="15" hidden="false" customHeight="false" outlineLevel="0" collapsed="false">
      <c r="A81" s="3" t="s">
        <v>246</v>
      </c>
      <c r="B81" s="3" t="s">
        <v>247</v>
      </c>
      <c r="C81" s="3" t="s">
        <v>72</v>
      </c>
      <c r="D81" s="3" t="s">
        <v>188</v>
      </c>
      <c r="E81" s="3" t="str">
        <f aca="false">A81&amp;".NS"</f>
        <v>DATAPATTNS.NS</v>
      </c>
      <c r="F81" s="13" t="b">
        <f aca="false">IF(D81="MIDCAP50",TRUE(),IF(ISNUMBER(Fundamentals!B81),SUMPRODUCT(($D$2:$D$151="SMALLCAP100")*ISNUMBER(Fundamentals!$B$2:$B$151)*(Fundamentals!$B$2:$B$151&gt;Fundamentals!B81))+1&lt;=50,FALSE()))</f>
        <v>0</v>
      </c>
    </row>
    <row r="82" customFormat="false" ht="15" hidden="false" customHeight="false" outlineLevel="0" collapsed="false">
      <c r="A82" s="3" t="s">
        <v>248</v>
      </c>
      <c r="B82" s="3" t="s">
        <v>249</v>
      </c>
      <c r="C82" s="3" t="s">
        <v>171</v>
      </c>
      <c r="D82" s="3" t="s">
        <v>188</v>
      </c>
      <c r="E82" s="3" t="str">
        <f aca="false">A82&amp;".NS"</f>
        <v>DEEPAKFERT.NS</v>
      </c>
      <c r="F82" s="13" t="b">
        <f aca="false">IF(D82="MIDCAP50",TRUE(),IF(ISNUMBER(Fundamentals!B82),SUMPRODUCT(($D$2:$D$151="SMALLCAP100")*ISNUMBER(Fundamentals!$B$2:$B$151)*(Fundamentals!$B$2:$B$151&gt;Fundamentals!B82))+1&lt;=50,FALSE()))</f>
        <v>0</v>
      </c>
    </row>
    <row r="83" customFormat="false" ht="15" hidden="false" customHeight="false" outlineLevel="0" collapsed="false">
      <c r="A83" s="3" t="s">
        <v>250</v>
      </c>
      <c r="B83" s="3" t="s">
        <v>251</v>
      </c>
      <c r="C83" s="3" t="s">
        <v>111</v>
      </c>
      <c r="D83" s="3" t="s">
        <v>188</v>
      </c>
      <c r="E83" s="3" t="str">
        <f aca="false">A83&amp;".NS"</f>
        <v>DELHIVERY.NS</v>
      </c>
      <c r="F83" s="13" t="b">
        <f aca="false">IF(D83="MIDCAP50",TRUE(),IF(ISNUMBER(Fundamentals!B83),SUMPRODUCT(($D$2:$D$151="SMALLCAP100")*ISNUMBER(Fundamentals!$B$2:$B$151)*(Fundamentals!$B$2:$B$151&gt;Fundamentals!B83))+1&lt;=50,FALSE()))</f>
        <v>0</v>
      </c>
    </row>
    <row r="84" customFormat="false" ht="15" hidden="false" customHeight="false" outlineLevel="0" collapsed="false">
      <c r="A84" s="3" t="s">
        <v>252</v>
      </c>
      <c r="B84" s="3" t="s">
        <v>253</v>
      </c>
      <c r="C84" s="3" t="s">
        <v>104</v>
      </c>
      <c r="D84" s="3" t="s">
        <v>188</v>
      </c>
      <c r="E84" s="3" t="str">
        <f aca="false">A84&amp;".NS"</f>
        <v>DEVYANI.NS</v>
      </c>
      <c r="F84" s="13" t="b">
        <f aca="false">IF(D84="MIDCAP50",TRUE(),IF(ISNUMBER(Fundamentals!B84),SUMPRODUCT(($D$2:$D$151="SMALLCAP100")*ISNUMBER(Fundamentals!$B$2:$B$151)*(Fundamentals!$B$2:$B$151&gt;Fundamentals!B84))+1&lt;=50,FALSE()))</f>
        <v>0</v>
      </c>
    </row>
    <row r="85" customFormat="false" ht="15" hidden="false" customHeight="false" outlineLevel="0" collapsed="false">
      <c r="A85" s="3" t="s">
        <v>254</v>
      </c>
      <c r="B85" s="3" t="s">
        <v>255</v>
      </c>
      <c r="C85" s="3" t="s">
        <v>79</v>
      </c>
      <c r="D85" s="3" t="s">
        <v>188</v>
      </c>
      <c r="E85" s="3" t="str">
        <f aca="false">A85&amp;".NS"</f>
        <v>LALPATHLAB.NS</v>
      </c>
      <c r="F85" s="13" t="b">
        <f aca="false">IF(D85="MIDCAP50",TRUE(),IF(ISNUMBER(Fundamentals!B85),SUMPRODUCT(($D$2:$D$151="SMALLCAP100")*ISNUMBER(Fundamentals!$B$2:$B$151)*(Fundamentals!$B$2:$B$151&gt;Fundamentals!B85))+1&lt;=50,FALSE()))</f>
        <v>0</v>
      </c>
    </row>
    <row r="86" customFormat="false" ht="15" hidden="false" customHeight="false" outlineLevel="0" collapsed="false">
      <c r="A86" s="3" t="s">
        <v>256</v>
      </c>
      <c r="B86" s="3" t="s">
        <v>257</v>
      </c>
      <c r="C86" s="3" t="s">
        <v>111</v>
      </c>
      <c r="D86" s="3" t="s">
        <v>188</v>
      </c>
      <c r="E86" s="3" t="str">
        <f aca="false">A86&amp;".NS"</f>
        <v>FSL.NS</v>
      </c>
      <c r="F86" s="13" t="b">
        <f aca="false">IF(D86="MIDCAP50",TRUE(),IF(ISNUMBER(Fundamentals!B86),SUMPRODUCT(($D$2:$D$151="SMALLCAP100")*ISNUMBER(Fundamentals!$B$2:$B$151)*(Fundamentals!$B$2:$B$151&gt;Fundamentals!B86))+1&lt;=50,FALSE()))</f>
        <v>0</v>
      </c>
    </row>
    <row r="87" customFormat="false" ht="15" hidden="false" customHeight="false" outlineLevel="0" collapsed="false">
      <c r="A87" s="3" t="s">
        <v>258</v>
      </c>
      <c r="B87" s="3" t="s">
        <v>259</v>
      </c>
      <c r="C87" s="3" t="s">
        <v>76</v>
      </c>
      <c r="D87" s="3" t="s">
        <v>188</v>
      </c>
      <c r="E87" s="3" t="str">
        <f aca="false">A87&amp;".NS"</f>
        <v>FIVESTAR.NS</v>
      </c>
      <c r="F87" s="13" t="b">
        <f aca="false">IF(D87="MIDCAP50",TRUE(),IF(ISNUMBER(Fundamentals!B87),SUMPRODUCT(($D$2:$D$151="SMALLCAP100")*ISNUMBER(Fundamentals!$B$2:$B$151)*(Fundamentals!$B$2:$B$151&gt;Fundamentals!B87))+1&lt;=50,FALSE()))</f>
        <v>0</v>
      </c>
    </row>
    <row r="88" customFormat="false" ht="15" hidden="false" customHeight="false" outlineLevel="0" collapsed="false">
      <c r="A88" s="3" t="s">
        <v>260</v>
      </c>
      <c r="B88" s="3" t="s">
        <v>261</v>
      </c>
      <c r="C88" s="3" t="s">
        <v>88</v>
      </c>
      <c r="D88" s="3" t="s">
        <v>188</v>
      </c>
      <c r="E88" s="3" t="str">
        <f aca="false">A88&amp;".NS"</f>
        <v>FORCEMOT.NS</v>
      </c>
      <c r="F88" s="13" t="b">
        <f aca="false">IF(D88="MIDCAP50",TRUE(),IF(ISNUMBER(Fundamentals!B88),SUMPRODUCT(($D$2:$D$151="SMALLCAP100")*ISNUMBER(Fundamentals!$B$2:$B$151)*(Fundamentals!$B$2:$B$151&gt;Fundamentals!B88))+1&lt;=50,FALSE()))</f>
        <v>0</v>
      </c>
    </row>
    <row r="89" customFormat="false" ht="15" hidden="false" customHeight="false" outlineLevel="0" collapsed="false">
      <c r="A89" s="3" t="s">
        <v>262</v>
      </c>
      <c r="B89" s="3" t="s">
        <v>263</v>
      </c>
      <c r="C89" s="3" t="s">
        <v>72</v>
      </c>
      <c r="D89" s="3" t="s">
        <v>188</v>
      </c>
      <c r="E89" s="3" t="str">
        <f aca="false">A89&amp;".NS"</f>
        <v>GRSE.NS</v>
      </c>
      <c r="F89" s="13" t="b">
        <f aca="false">IF(D89="MIDCAP50",TRUE(),IF(ISNUMBER(Fundamentals!B89),SUMPRODUCT(($D$2:$D$151="SMALLCAP100")*ISNUMBER(Fundamentals!$B$2:$B$151)*(Fundamentals!$B$2:$B$151&gt;Fundamentals!B89))+1&lt;=50,FALSE()))</f>
        <v>0</v>
      </c>
    </row>
    <row r="90" customFormat="false" ht="15" hidden="false" customHeight="false" outlineLevel="0" collapsed="false">
      <c r="A90" s="3" t="s">
        <v>264</v>
      </c>
      <c r="B90" s="3" t="s">
        <v>265</v>
      </c>
      <c r="C90" s="3" t="s">
        <v>79</v>
      </c>
      <c r="D90" s="3" t="s">
        <v>188</v>
      </c>
      <c r="E90" s="3" t="str">
        <f aca="false">A90&amp;".NS"</f>
        <v>GLAND.NS</v>
      </c>
      <c r="F90" s="13" t="b">
        <f aca="false">IF(D90="MIDCAP50",TRUE(),IF(ISNUMBER(Fundamentals!B90),SUMPRODUCT(($D$2:$D$151="SMALLCAP100")*ISNUMBER(Fundamentals!$B$2:$B$151)*(Fundamentals!$B$2:$B$151&gt;Fundamentals!B90))+1&lt;=50,FALSE()))</f>
        <v>0</v>
      </c>
    </row>
    <row r="91" customFormat="false" ht="15" hidden="false" customHeight="false" outlineLevel="0" collapsed="false">
      <c r="A91" s="3" t="s">
        <v>266</v>
      </c>
      <c r="B91" s="3" t="s">
        <v>267</v>
      </c>
      <c r="C91" s="3" t="s">
        <v>72</v>
      </c>
      <c r="D91" s="3" t="s">
        <v>188</v>
      </c>
      <c r="E91" s="3" t="str">
        <f aca="false">A91&amp;".NS"</f>
        <v>GPIL.NS</v>
      </c>
      <c r="F91" s="13" t="b">
        <f aca="false">IF(D91="MIDCAP50",TRUE(),IF(ISNUMBER(Fundamentals!B91),SUMPRODUCT(($D$2:$D$151="SMALLCAP100")*ISNUMBER(Fundamentals!$B$2:$B$151)*(Fundamentals!$B$2:$B$151&gt;Fundamentals!B91))+1&lt;=50,FALSE()))</f>
        <v>0</v>
      </c>
    </row>
    <row r="92" customFormat="false" ht="15" hidden="false" customHeight="false" outlineLevel="0" collapsed="false">
      <c r="A92" s="3" t="s">
        <v>268</v>
      </c>
      <c r="B92" s="3" t="s">
        <v>269</v>
      </c>
      <c r="C92" s="3" t="s">
        <v>111</v>
      </c>
      <c r="D92" s="3" t="s">
        <v>188</v>
      </c>
      <c r="E92" s="3" t="str">
        <f aca="false">A92&amp;".NS"</f>
        <v>GESHIP.NS</v>
      </c>
      <c r="F92" s="13" t="b">
        <f aca="false">IF(D92="MIDCAP50",TRUE(),IF(ISNUMBER(Fundamentals!B92),SUMPRODUCT(($D$2:$D$151="SMALLCAP100")*ISNUMBER(Fundamentals!$B$2:$B$151)*(Fundamentals!$B$2:$B$151&gt;Fundamentals!B92))+1&lt;=50,FALSE()))</f>
        <v>0</v>
      </c>
    </row>
    <row r="93" customFormat="false" ht="15" hidden="false" customHeight="false" outlineLevel="0" collapsed="false">
      <c r="A93" s="3" t="s">
        <v>270</v>
      </c>
      <c r="B93" s="3" t="s">
        <v>271</v>
      </c>
      <c r="C93" s="3" t="s">
        <v>152</v>
      </c>
      <c r="D93" s="3" t="s">
        <v>188</v>
      </c>
      <c r="E93" s="3" t="str">
        <f aca="false">A93&amp;".NS"</f>
        <v>GMDCLTD.NS</v>
      </c>
      <c r="F93" s="13" t="b">
        <f aca="false">IF(D93="MIDCAP50",TRUE(),IF(ISNUMBER(Fundamentals!B93),SUMPRODUCT(($D$2:$D$151="SMALLCAP100")*ISNUMBER(Fundamentals!$B$2:$B$151)*(Fundamentals!$B$2:$B$151&gt;Fundamentals!B93))+1&lt;=50,FALSE()))</f>
        <v>0</v>
      </c>
    </row>
    <row r="94" customFormat="false" ht="15" hidden="false" customHeight="false" outlineLevel="0" collapsed="false">
      <c r="A94" s="3" t="s">
        <v>272</v>
      </c>
      <c r="B94" s="3" t="s">
        <v>273</v>
      </c>
      <c r="C94" s="3" t="s">
        <v>72</v>
      </c>
      <c r="D94" s="3" t="s">
        <v>188</v>
      </c>
      <c r="E94" s="3" t="str">
        <f aca="false">A94&amp;".NS"</f>
        <v>HBLENGINE.NS</v>
      </c>
      <c r="F94" s="13" t="b">
        <f aca="false">IF(D94="MIDCAP50",TRUE(),IF(ISNUMBER(Fundamentals!B94),SUMPRODUCT(($D$2:$D$151="SMALLCAP100")*ISNUMBER(Fundamentals!$B$2:$B$151)*(Fundamentals!$B$2:$B$151&gt;Fundamentals!B94))+1&lt;=50,FALSE()))</f>
        <v>0</v>
      </c>
    </row>
    <row r="95" customFormat="false" ht="15" hidden="false" customHeight="false" outlineLevel="0" collapsed="false">
      <c r="A95" s="3" t="s">
        <v>274</v>
      </c>
      <c r="B95" s="3" t="s">
        <v>275</v>
      </c>
      <c r="C95" s="3" t="s">
        <v>171</v>
      </c>
      <c r="D95" s="3" t="s">
        <v>188</v>
      </c>
      <c r="E95" s="3" t="str">
        <f aca="false">A95&amp;".NS"</f>
        <v>HSCL.NS</v>
      </c>
      <c r="F95" s="13" t="b">
        <f aca="false">IF(D95="MIDCAP50",TRUE(),IF(ISNUMBER(Fundamentals!B95),SUMPRODUCT(($D$2:$D$151="SMALLCAP100")*ISNUMBER(Fundamentals!$B$2:$B$151)*(Fundamentals!$B$2:$B$151&gt;Fundamentals!B95))+1&lt;=50,FALSE()))</f>
        <v>0</v>
      </c>
    </row>
    <row r="96" customFormat="false" ht="15" hidden="false" customHeight="false" outlineLevel="0" collapsed="false">
      <c r="A96" s="3" t="s">
        <v>276</v>
      </c>
      <c r="B96" s="3" t="s">
        <v>277</v>
      </c>
      <c r="C96" s="3" t="s">
        <v>152</v>
      </c>
      <c r="D96" s="3" t="s">
        <v>188</v>
      </c>
      <c r="E96" s="3" t="str">
        <f aca="false">A96&amp;".NS"</f>
        <v>HINDCOPPER.NS</v>
      </c>
      <c r="F96" s="13" t="b">
        <f aca="false">IF(D96="MIDCAP50",TRUE(),IF(ISNUMBER(Fundamentals!B96),SUMPRODUCT(($D$2:$D$151="SMALLCAP100")*ISNUMBER(Fundamentals!$B$2:$B$151)*(Fundamentals!$B$2:$B$151&gt;Fundamentals!B96))+1&lt;=50,FALSE()))</f>
        <v>0</v>
      </c>
    </row>
    <row r="97" customFormat="false" ht="15" hidden="false" customHeight="false" outlineLevel="0" collapsed="false">
      <c r="A97" s="3" t="s">
        <v>278</v>
      </c>
      <c r="B97" s="3" t="s">
        <v>279</v>
      </c>
      <c r="C97" s="3" t="s">
        <v>76</v>
      </c>
      <c r="D97" s="3" t="s">
        <v>188</v>
      </c>
      <c r="E97" s="3" t="str">
        <f aca="false">A97&amp;".NS"</f>
        <v>IDBI.NS</v>
      </c>
      <c r="F97" s="13" t="b">
        <f aca="false">IF(D97="MIDCAP50",TRUE(),IF(ISNUMBER(Fundamentals!B97),SUMPRODUCT(($D$2:$D$151="SMALLCAP100")*ISNUMBER(Fundamentals!$B$2:$B$151)*(Fundamentals!$B$2:$B$151&gt;Fundamentals!B97))+1&lt;=50,FALSE()))</f>
        <v>0</v>
      </c>
    </row>
    <row r="98" customFormat="false" ht="15" hidden="false" customHeight="false" outlineLevel="0" collapsed="false">
      <c r="A98" s="3" t="s">
        <v>280</v>
      </c>
      <c r="B98" s="3" t="s">
        <v>281</v>
      </c>
      <c r="C98" s="3" t="s">
        <v>76</v>
      </c>
      <c r="D98" s="3" t="s">
        <v>188</v>
      </c>
      <c r="E98" s="3" t="str">
        <f aca="false">A98&amp;".NS"</f>
        <v>IFCI.NS</v>
      </c>
      <c r="F98" s="13" t="b">
        <f aca="false">IF(D98="MIDCAP50",TRUE(),IF(ISNUMBER(Fundamentals!B98),SUMPRODUCT(($D$2:$D$151="SMALLCAP100")*ISNUMBER(Fundamentals!$B$2:$B$151)*(Fundamentals!$B$2:$B$151&gt;Fundamentals!B98))+1&lt;=50,FALSE()))</f>
        <v>0</v>
      </c>
    </row>
    <row r="99" customFormat="false" ht="15" hidden="false" customHeight="false" outlineLevel="0" collapsed="false">
      <c r="A99" s="3" t="s">
        <v>282</v>
      </c>
      <c r="B99" s="3" t="s">
        <v>283</v>
      </c>
      <c r="C99" s="3" t="s">
        <v>76</v>
      </c>
      <c r="D99" s="3" t="s">
        <v>188</v>
      </c>
      <c r="E99" s="3" t="str">
        <f aca="false">A99&amp;".NS"</f>
        <v>IIFL.NS</v>
      </c>
      <c r="F99" s="13" t="b">
        <f aca="false">IF(D99="MIDCAP50",TRUE(),IF(ISNUMBER(Fundamentals!B99),SUMPRODUCT(($D$2:$D$151="SMALLCAP100")*ISNUMBER(Fundamentals!$B$2:$B$151)*(Fundamentals!$B$2:$B$151&gt;Fundamentals!B99))+1&lt;=50,FALSE()))</f>
        <v>0</v>
      </c>
    </row>
    <row r="100" customFormat="false" ht="15" hidden="false" customHeight="false" outlineLevel="0" collapsed="false">
      <c r="A100" s="3" t="s">
        <v>284</v>
      </c>
      <c r="B100" s="3" t="s">
        <v>285</v>
      </c>
      <c r="C100" s="3" t="s">
        <v>195</v>
      </c>
      <c r="D100" s="3" t="s">
        <v>188</v>
      </c>
      <c r="E100" s="3" t="str">
        <f aca="false">A100&amp;".NS"</f>
        <v>IRCON.NS</v>
      </c>
      <c r="F100" s="13" t="b">
        <f aca="false">IF(D100="MIDCAP50",TRUE(),IF(ISNUMBER(Fundamentals!B100),SUMPRODUCT(($D$2:$D$151="SMALLCAP100")*ISNUMBER(Fundamentals!$B$2:$B$151)*(Fundamentals!$B$2:$B$151&gt;Fundamentals!B100))+1&lt;=50,FALSE()))</f>
        <v>0</v>
      </c>
    </row>
    <row r="101" customFormat="false" ht="15" hidden="false" customHeight="false" outlineLevel="0" collapsed="false">
      <c r="A101" s="3" t="s">
        <v>286</v>
      </c>
      <c r="B101" s="3" t="s">
        <v>287</v>
      </c>
      <c r="C101" s="3" t="s">
        <v>128</v>
      </c>
      <c r="D101" s="3" t="s">
        <v>188</v>
      </c>
      <c r="E101" s="3" t="str">
        <f aca="false">A101&amp;".NS"</f>
        <v>ITI.NS</v>
      </c>
      <c r="F101" s="13" t="b">
        <f aca="false">IF(D101="MIDCAP50",TRUE(),IF(ISNUMBER(Fundamentals!B101),SUMPRODUCT(($D$2:$D$151="SMALLCAP100")*ISNUMBER(Fundamentals!$B$2:$B$151)*(Fundamentals!$B$2:$B$151&gt;Fundamentals!B101))+1&lt;=50,FALSE()))</f>
        <v>0</v>
      </c>
    </row>
    <row r="102" customFormat="false" ht="15" hidden="false" customHeight="false" outlineLevel="0" collapsed="false">
      <c r="A102" s="3" t="s">
        <v>288</v>
      </c>
      <c r="B102" s="3" t="s">
        <v>289</v>
      </c>
      <c r="C102" s="3" t="s">
        <v>121</v>
      </c>
      <c r="D102" s="3" t="s">
        <v>188</v>
      </c>
      <c r="E102" s="3" t="str">
        <f aca="false">A102&amp;".NS"</f>
        <v>IGL.NS</v>
      </c>
      <c r="F102" s="13" t="b">
        <f aca="false">IF(D102="MIDCAP50",TRUE(),IF(ISNUMBER(Fundamentals!B102),SUMPRODUCT(($D$2:$D$151="SMALLCAP100")*ISNUMBER(Fundamentals!$B$2:$B$151)*(Fundamentals!$B$2:$B$151&gt;Fundamentals!B102))+1&lt;=50,FALSE()))</f>
        <v>0</v>
      </c>
    </row>
    <row r="103" customFormat="false" ht="15" hidden="false" customHeight="false" outlineLevel="0" collapsed="false">
      <c r="A103" s="3" t="s">
        <v>290</v>
      </c>
      <c r="B103" s="3" t="s">
        <v>291</v>
      </c>
      <c r="C103" s="3" t="s">
        <v>72</v>
      </c>
      <c r="D103" s="3" t="s">
        <v>188</v>
      </c>
      <c r="E103" s="3" t="str">
        <f aca="false">A103&amp;".NS"</f>
        <v>INOXWIND.NS</v>
      </c>
      <c r="F103" s="13" t="b">
        <f aca="false">IF(D103="MIDCAP50",TRUE(),IF(ISNUMBER(Fundamentals!B103),SUMPRODUCT(($D$2:$D$151="SMALLCAP100")*ISNUMBER(Fundamentals!$B$2:$B$151)*(Fundamentals!$B$2:$B$151&gt;Fundamentals!B103))+1&lt;=50,FALSE()))</f>
        <v>0</v>
      </c>
    </row>
    <row r="104" customFormat="false" ht="15" hidden="false" customHeight="false" outlineLevel="0" collapsed="false">
      <c r="A104" s="3" t="s">
        <v>292</v>
      </c>
      <c r="B104" s="3" t="s">
        <v>293</v>
      </c>
      <c r="C104" s="3" t="s">
        <v>93</v>
      </c>
      <c r="D104" s="3" t="s">
        <v>188</v>
      </c>
      <c r="E104" s="3" t="str">
        <f aca="false">A104&amp;".NS"</f>
        <v>IKS.NS</v>
      </c>
      <c r="F104" s="13" t="b">
        <f aca="false">IF(D104="MIDCAP50",TRUE(),IF(ISNUMBER(Fundamentals!B104),SUMPRODUCT(($D$2:$D$151="SMALLCAP100")*ISNUMBER(Fundamentals!$B$2:$B$151)*(Fundamentals!$B$2:$B$151&gt;Fundamentals!B104))+1&lt;=50,FALSE()))</f>
        <v>0</v>
      </c>
    </row>
    <row r="105" customFormat="false" ht="15" hidden="false" customHeight="false" outlineLevel="0" collapsed="false">
      <c r="A105" s="3" t="s">
        <v>294</v>
      </c>
      <c r="B105" s="3" t="s">
        <v>295</v>
      </c>
      <c r="C105" s="3" t="s">
        <v>88</v>
      </c>
      <c r="D105" s="3" t="s">
        <v>188</v>
      </c>
      <c r="E105" s="3" t="str">
        <f aca="false">A105&amp;".NS"</f>
        <v>JBMA.NS</v>
      </c>
      <c r="F105" s="13" t="b">
        <f aca="false">IF(D105="MIDCAP50",TRUE(),IF(ISNUMBER(Fundamentals!B105),SUMPRODUCT(($D$2:$D$151="SMALLCAP100")*ISNUMBER(Fundamentals!$B$2:$B$151)*(Fundamentals!$B$2:$B$151&gt;Fundamentals!B105))+1&lt;=50,FALSE()))</f>
        <v>0</v>
      </c>
    </row>
    <row r="106" customFormat="false" ht="15" hidden="false" customHeight="false" outlineLevel="0" collapsed="false">
      <c r="A106" s="3" t="s">
        <v>296</v>
      </c>
      <c r="B106" s="3" t="s">
        <v>297</v>
      </c>
      <c r="C106" s="3" t="s">
        <v>76</v>
      </c>
      <c r="D106" s="3" t="s">
        <v>188</v>
      </c>
      <c r="E106" s="3" t="str">
        <f aca="false">A106&amp;".NS"</f>
        <v>JMFINANCIL.NS</v>
      </c>
      <c r="F106" s="13" t="b">
        <f aca="false">IF(D106="MIDCAP50",TRUE(),IF(ISNUMBER(Fundamentals!B106),SUMPRODUCT(($D$2:$D$151="SMALLCAP100")*ISNUMBER(Fundamentals!$B$2:$B$151)*(Fundamentals!$B$2:$B$151&gt;Fundamentals!B106))+1&lt;=50,FALSE()))</f>
        <v>0</v>
      </c>
    </row>
    <row r="107" customFormat="false" ht="15" hidden="false" customHeight="false" outlineLevel="0" collapsed="false">
      <c r="A107" s="3" t="s">
        <v>298</v>
      </c>
      <c r="B107" s="3" t="s">
        <v>299</v>
      </c>
      <c r="C107" s="3" t="s">
        <v>300</v>
      </c>
      <c r="D107" s="3" t="s">
        <v>188</v>
      </c>
      <c r="E107" s="3" t="str">
        <f aca="false">A107&amp;".NS"</f>
        <v>JSWCEMENT.NS</v>
      </c>
      <c r="F107" s="13" t="b">
        <f aca="false">IF(D107="MIDCAP50",TRUE(),IF(ISNUMBER(Fundamentals!B107),SUMPRODUCT(($D$2:$D$151="SMALLCAP100")*ISNUMBER(Fundamentals!$B$2:$B$151)*(Fundamentals!$B$2:$B$151&gt;Fundamentals!B107))+1&lt;=50,FALSE()))</f>
        <v>0</v>
      </c>
    </row>
    <row r="108" customFormat="false" ht="15" hidden="false" customHeight="false" outlineLevel="0" collapsed="false">
      <c r="A108" s="3" t="s">
        <v>301</v>
      </c>
      <c r="B108" s="3" t="s">
        <v>302</v>
      </c>
      <c r="C108" s="3" t="s">
        <v>72</v>
      </c>
      <c r="D108" s="3" t="s">
        <v>188</v>
      </c>
      <c r="E108" s="3" t="str">
        <f aca="false">A108&amp;".NS"</f>
        <v>JYOTICNC.NS</v>
      </c>
      <c r="F108" s="13" t="b">
        <f aca="false">IF(D108="MIDCAP50",TRUE(),IF(ISNUMBER(Fundamentals!B108),SUMPRODUCT(($D$2:$D$151="SMALLCAP100")*ISNUMBER(Fundamentals!$B$2:$B$151)*(Fundamentals!$B$2:$B$151&gt;Fundamentals!B108))+1&lt;=50,FALSE()))</f>
        <v>0</v>
      </c>
    </row>
    <row r="109" customFormat="false" ht="15" hidden="false" customHeight="false" outlineLevel="0" collapsed="false">
      <c r="A109" s="3" t="s">
        <v>303</v>
      </c>
      <c r="B109" s="3" t="s">
        <v>304</v>
      </c>
      <c r="C109" s="3" t="s">
        <v>76</v>
      </c>
      <c r="D109" s="3" t="s">
        <v>188</v>
      </c>
      <c r="E109" s="3" t="str">
        <f aca="false">A109&amp;".NS"</f>
        <v>KARURVYSYA.NS</v>
      </c>
      <c r="F109" s="13" t="b">
        <f aca="false">IF(D109="MIDCAP50",TRUE(),IF(ISNUMBER(Fundamentals!B109),SUMPRODUCT(($D$2:$D$151="SMALLCAP100")*ISNUMBER(Fundamentals!$B$2:$B$151)*(Fundamentals!$B$2:$B$151&gt;Fundamentals!B109))+1&lt;=50,FALSE()))</f>
        <v>0</v>
      </c>
    </row>
    <row r="110" customFormat="false" ht="15" hidden="false" customHeight="false" outlineLevel="0" collapsed="false">
      <c r="A110" s="3" t="s">
        <v>305</v>
      </c>
      <c r="B110" s="3" t="s">
        <v>306</v>
      </c>
      <c r="C110" s="3" t="s">
        <v>72</v>
      </c>
      <c r="D110" s="3" t="s">
        <v>188</v>
      </c>
      <c r="E110" s="3" t="str">
        <f aca="false">A110&amp;".NS"</f>
        <v>KAYNES.NS</v>
      </c>
      <c r="F110" s="13" t="b">
        <f aca="false">IF(D110="MIDCAP50",TRUE(),IF(ISNUMBER(Fundamentals!B110),SUMPRODUCT(($D$2:$D$151="SMALLCAP100")*ISNUMBER(Fundamentals!$B$2:$B$151)*(Fundamentals!$B$2:$B$151&gt;Fundamentals!B110))+1&lt;=50,FALSE()))</f>
        <v>0</v>
      </c>
    </row>
    <row r="111" customFormat="false" ht="15" hidden="false" customHeight="false" outlineLevel="0" collapsed="false">
      <c r="A111" s="3" t="s">
        <v>307</v>
      </c>
      <c r="B111" s="3" t="s">
        <v>308</v>
      </c>
      <c r="C111" s="3" t="s">
        <v>195</v>
      </c>
      <c r="D111" s="3" t="s">
        <v>188</v>
      </c>
      <c r="E111" s="3" t="str">
        <f aca="false">A111&amp;".NS"</f>
        <v>KEC.NS</v>
      </c>
      <c r="F111" s="13" t="b">
        <f aca="false">IF(D111="MIDCAP50",TRUE(),IF(ISNUMBER(Fundamentals!B111),SUMPRODUCT(($D$2:$D$151="SMALLCAP100")*ISNUMBER(Fundamentals!$B$2:$B$151)*(Fundamentals!$B$2:$B$151&gt;Fundamentals!B111))+1&lt;=50,FALSE()))</f>
        <v>0</v>
      </c>
    </row>
    <row r="112" customFormat="false" ht="15" hidden="false" customHeight="false" outlineLevel="0" collapsed="false">
      <c r="A112" s="3" t="s">
        <v>309</v>
      </c>
      <c r="B112" s="3" t="s">
        <v>310</v>
      </c>
      <c r="C112" s="3" t="s">
        <v>76</v>
      </c>
      <c r="D112" s="3" t="s">
        <v>188</v>
      </c>
      <c r="E112" s="3" t="str">
        <f aca="false">A112&amp;".NS"</f>
        <v>KFINTECH.NS</v>
      </c>
      <c r="F112" s="13" t="b">
        <f aca="false">IF(D112="MIDCAP50",TRUE(),IF(ISNUMBER(Fundamentals!B112),SUMPRODUCT(($D$2:$D$151="SMALLCAP100")*ISNUMBER(Fundamentals!$B$2:$B$151)*(Fundamentals!$B$2:$B$151&gt;Fundamentals!B112))+1&lt;=50,FALSE()))</f>
        <v>0</v>
      </c>
    </row>
    <row r="113" customFormat="false" ht="15" hidden="false" customHeight="false" outlineLevel="0" collapsed="false">
      <c r="A113" s="3" t="s">
        <v>311</v>
      </c>
      <c r="B113" s="3" t="s">
        <v>312</v>
      </c>
      <c r="C113" s="3" t="s">
        <v>76</v>
      </c>
      <c r="D113" s="3" t="s">
        <v>188</v>
      </c>
      <c r="E113" s="3" t="str">
        <f aca="false">A113&amp;".NS"</f>
        <v>MANAPPURAM.NS</v>
      </c>
      <c r="F113" s="13" t="b">
        <f aca="false">IF(D113="MIDCAP50",TRUE(),IF(ISNUMBER(Fundamentals!B113),SUMPRODUCT(($D$2:$D$151="SMALLCAP100")*ISNUMBER(Fundamentals!$B$2:$B$151)*(Fundamentals!$B$2:$B$151&gt;Fundamentals!B113))+1&lt;=50,FALSE()))</f>
        <v>0</v>
      </c>
    </row>
    <row r="114" customFormat="false" ht="15" hidden="false" customHeight="false" outlineLevel="0" collapsed="false">
      <c r="A114" s="3" t="s">
        <v>313</v>
      </c>
      <c r="B114" s="3" t="s">
        <v>314</v>
      </c>
      <c r="C114" s="3" t="s">
        <v>121</v>
      </c>
      <c r="D114" s="3" t="s">
        <v>188</v>
      </c>
      <c r="E114" s="3" t="str">
        <f aca="false">A114&amp;".NS"</f>
        <v>MRPL.NS</v>
      </c>
      <c r="F114" s="13" t="b">
        <f aca="false">IF(D114="MIDCAP50",TRUE(),IF(ISNUMBER(Fundamentals!B114),SUMPRODUCT(($D$2:$D$151="SMALLCAP100")*ISNUMBER(Fundamentals!$B$2:$B$151)*(Fundamentals!$B$2:$B$151&gt;Fundamentals!B114))+1&lt;=50,FALSE()))</f>
        <v>0</v>
      </c>
    </row>
    <row r="115" customFormat="false" ht="15" hidden="false" customHeight="false" outlineLevel="0" collapsed="false">
      <c r="A115" s="3" t="s">
        <v>315</v>
      </c>
      <c r="B115" s="3" t="s">
        <v>316</v>
      </c>
      <c r="C115" s="3" t="s">
        <v>104</v>
      </c>
      <c r="D115" s="3" t="s">
        <v>188</v>
      </c>
      <c r="E115" s="3" t="str">
        <f aca="false">A115&amp;".NS"</f>
        <v>MEESHO.NS</v>
      </c>
      <c r="F115" s="13" t="b">
        <f aca="false">IF(D115="MIDCAP50",TRUE(),IF(ISNUMBER(Fundamentals!B115),SUMPRODUCT(($D$2:$D$151="SMALLCAP100")*ISNUMBER(Fundamentals!$B$2:$B$151)*(Fundamentals!$B$2:$B$151&gt;Fundamentals!B115))+1&lt;=50,FALSE()))</f>
        <v>0</v>
      </c>
    </row>
    <row r="116" customFormat="false" ht="15" hidden="false" customHeight="false" outlineLevel="0" collapsed="false">
      <c r="A116" s="3" t="s">
        <v>317</v>
      </c>
      <c r="B116" s="3" t="s">
        <v>318</v>
      </c>
      <c r="C116" s="3" t="s">
        <v>79</v>
      </c>
      <c r="D116" s="3" t="s">
        <v>188</v>
      </c>
      <c r="E116" s="3" t="str">
        <f aca="false">A116&amp;".NS"</f>
        <v>NATCOPHARM.NS</v>
      </c>
      <c r="F116" s="13" t="b">
        <f aca="false">IF(D116="MIDCAP50",TRUE(),IF(ISNUMBER(Fundamentals!B116),SUMPRODUCT(($D$2:$D$151="SMALLCAP100")*ISNUMBER(Fundamentals!$B$2:$B$151)*(Fundamentals!$B$2:$B$151&gt;Fundamentals!B116))+1&lt;=50,FALSE()))</f>
        <v>0</v>
      </c>
    </row>
    <row r="117" customFormat="false" ht="15" hidden="false" customHeight="false" outlineLevel="0" collapsed="false">
      <c r="A117" s="3" t="s">
        <v>319</v>
      </c>
      <c r="B117" s="3" t="s">
        <v>320</v>
      </c>
      <c r="C117" s="3" t="s">
        <v>195</v>
      </c>
      <c r="D117" s="3" t="s">
        <v>188</v>
      </c>
      <c r="E117" s="3" t="str">
        <f aca="false">A117&amp;".NS"</f>
        <v>NBCC.NS</v>
      </c>
      <c r="F117" s="13" t="b">
        <f aca="false">IF(D117="MIDCAP50",TRUE(),IF(ISNUMBER(Fundamentals!B117),SUMPRODUCT(($D$2:$D$151="SMALLCAP100")*ISNUMBER(Fundamentals!$B$2:$B$151)*(Fundamentals!$B$2:$B$151&gt;Fundamentals!B117))+1&lt;=50,FALSE()))</f>
        <v>0</v>
      </c>
    </row>
    <row r="118" customFormat="false" ht="15" hidden="false" customHeight="false" outlineLevel="0" collapsed="false">
      <c r="A118" s="3" t="s">
        <v>321</v>
      </c>
      <c r="B118" s="3" t="s">
        <v>322</v>
      </c>
      <c r="C118" s="3" t="s">
        <v>79</v>
      </c>
      <c r="D118" s="3" t="s">
        <v>188</v>
      </c>
      <c r="E118" s="3" t="str">
        <f aca="false">A118&amp;".NS"</f>
        <v>NH.NS</v>
      </c>
      <c r="F118" s="13" t="b">
        <f aca="false">IF(D118="MIDCAP50",TRUE(),IF(ISNUMBER(Fundamentals!B118),SUMPRODUCT(($D$2:$D$151="SMALLCAP100")*ISNUMBER(Fundamentals!$B$2:$B$151)*(Fundamentals!$B$2:$B$151&gt;Fundamentals!B118))+1&lt;=50,FALSE()))</f>
        <v>0</v>
      </c>
    </row>
    <row r="119" customFormat="false" ht="15" hidden="false" customHeight="false" outlineLevel="0" collapsed="false">
      <c r="A119" s="3" t="s">
        <v>323</v>
      </c>
      <c r="B119" s="3" t="s">
        <v>324</v>
      </c>
      <c r="C119" s="3" t="s">
        <v>171</v>
      </c>
      <c r="D119" s="3" t="s">
        <v>188</v>
      </c>
      <c r="E119" s="3" t="str">
        <f aca="false">A119&amp;".NS"</f>
        <v>NAVINFLUOR.NS</v>
      </c>
      <c r="F119" s="13" t="b">
        <f aca="false">IF(D119="MIDCAP50",TRUE(),IF(ISNUMBER(Fundamentals!B119),SUMPRODUCT(($D$2:$D$151="SMALLCAP100")*ISNUMBER(Fundamentals!$B$2:$B$151)*(Fundamentals!$B$2:$B$151&gt;Fundamentals!B119))+1&lt;=50,FALSE()))</f>
        <v>0</v>
      </c>
    </row>
    <row r="120" customFormat="false" ht="15" hidden="false" customHeight="false" outlineLevel="0" collapsed="false">
      <c r="A120" s="3" t="s">
        <v>325</v>
      </c>
      <c r="B120" s="3" t="s">
        <v>326</v>
      </c>
      <c r="C120" s="3" t="s">
        <v>93</v>
      </c>
      <c r="D120" s="3" t="s">
        <v>188</v>
      </c>
      <c r="E120" s="3" t="str">
        <f aca="false">A120&amp;".NS"</f>
        <v>NETWEB.NS</v>
      </c>
      <c r="F120" s="13" t="b">
        <f aca="false">IF(D120="MIDCAP50",TRUE(),IF(ISNUMBER(Fundamentals!B120),SUMPRODUCT(($D$2:$D$151="SMALLCAP100")*ISNUMBER(Fundamentals!$B$2:$B$151)*(Fundamentals!$B$2:$B$151&gt;Fundamentals!B120))+1&lt;=50,FALSE()))</f>
        <v>0</v>
      </c>
    </row>
    <row r="121" customFormat="false" ht="15" hidden="false" customHeight="false" outlineLevel="0" collapsed="false">
      <c r="A121" s="3" t="s">
        <v>327</v>
      </c>
      <c r="B121" s="3" t="s">
        <v>328</v>
      </c>
      <c r="C121" s="3" t="s">
        <v>79</v>
      </c>
      <c r="D121" s="3" t="s">
        <v>188</v>
      </c>
      <c r="E121" s="3" t="str">
        <f aca="false">A121&amp;".NS"</f>
        <v>NEULANDLAB.NS</v>
      </c>
      <c r="F121" s="13" t="b">
        <f aca="false">IF(D121="MIDCAP50",TRUE(),IF(ISNUMBER(Fundamentals!B121),SUMPRODUCT(($D$2:$D$151="SMALLCAP100")*ISNUMBER(Fundamentals!$B$2:$B$151)*(Fundamentals!$B$2:$B$151&gt;Fundamentals!B121))+1&lt;=50,FALSE()))</f>
        <v>0</v>
      </c>
    </row>
    <row r="122" customFormat="false" ht="15" hidden="false" customHeight="false" outlineLevel="0" collapsed="false">
      <c r="A122" s="3" t="s">
        <v>329</v>
      </c>
      <c r="B122" s="3" t="s">
        <v>330</v>
      </c>
      <c r="C122" s="3" t="s">
        <v>76</v>
      </c>
      <c r="D122" s="3" t="s">
        <v>188</v>
      </c>
      <c r="E122" s="3" t="str">
        <f aca="false">A122&amp;".NS"</f>
        <v>NUVAMA.NS</v>
      </c>
      <c r="F122" s="13" t="b">
        <f aca="false">IF(D122="MIDCAP50",TRUE(),IF(ISNUMBER(Fundamentals!B122),SUMPRODUCT(($D$2:$D$151="SMALLCAP100")*ISNUMBER(Fundamentals!$B$2:$B$151)*(Fundamentals!$B$2:$B$151&gt;Fundamentals!B122))+1&lt;=50,FALSE()))</f>
        <v>0</v>
      </c>
    </row>
    <row r="123" customFormat="false" ht="15" hidden="false" customHeight="false" outlineLevel="0" collapsed="false">
      <c r="A123" s="3" t="s">
        <v>331</v>
      </c>
      <c r="B123" s="3" t="s">
        <v>332</v>
      </c>
      <c r="C123" s="3" t="s">
        <v>88</v>
      </c>
      <c r="D123" s="3" t="s">
        <v>188</v>
      </c>
      <c r="E123" s="3" t="str">
        <f aca="false">A123&amp;".NS"</f>
        <v>OLAELEC.NS</v>
      </c>
      <c r="F123" s="13" t="b">
        <f aca="false">IF(D123="MIDCAP50",TRUE(),IF(ISNUMBER(Fundamentals!B123),SUMPRODUCT(($D$2:$D$151="SMALLCAP100")*ISNUMBER(Fundamentals!$B$2:$B$151)*(Fundamentals!$B$2:$B$151&gt;Fundamentals!B123))+1&lt;=50,FALSE()))</f>
        <v>0</v>
      </c>
    </row>
    <row r="124" customFormat="false" ht="15" hidden="false" customHeight="false" outlineLevel="0" collapsed="false">
      <c r="A124" s="3" t="s">
        <v>333</v>
      </c>
      <c r="B124" s="3" t="s">
        <v>334</v>
      </c>
      <c r="C124" s="3" t="s">
        <v>101</v>
      </c>
      <c r="D124" s="3" t="s">
        <v>188</v>
      </c>
      <c r="E124" s="3" t="str">
        <f aca="false">A124&amp;".NS"</f>
        <v>PGEL.NS</v>
      </c>
      <c r="F124" s="13" t="b">
        <f aca="false">IF(D124="MIDCAP50",TRUE(),IF(ISNUMBER(Fundamentals!B124),SUMPRODUCT(($D$2:$D$151="SMALLCAP100")*ISNUMBER(Fundamentals!$B$2:$B$151)*(Fundamentals!$B$2:$B$151&gt;Fundamentals!B124))+1&lt;=50,FALSE()))</f>
        <v>0</v>
      </c>
    </row>
    <row r="125" customFormat="false" ht="15" hidden="false" customHeight="false" outlineLevel="0" collapsed="false">
      <c r="A125" s="3" t="s">
        <v>335</v>
      </c>
      <c r="B125" s="3" t="s">
        <v>336</v>
      </c>
      <c r="C125" s="3" t="s">
        <v>76</v>
      </c>
      <c r="D125" s="3" t="s">
        <v>188</v>
      </c>
      <c r="E125" s="3" t="str">
        <f aca="false">A125&amp;".NS"</f>
        <v>PNBHOUSING.NS</v>
      </c>
      <c r="F125" s="13" t="b">
        <f aca="false">IF(D125="MIDCAP50",TRUE(),IF(ISNUMBER(Fundamentals!B125),SUMPRODUCT(($D$2:$D$151="SMALLCAP100")*ISNUMBER(Fundamentals!$B$2:$B$151)*(Fundamentals!$B$2:$B$151&gt;Fundamentals!B125))+1&lt;=50,FALSE()))</f>
        <v>0</v>
      </c>
    </row>
    <row r="126" customFormat="false" ht="15" hidden="false" customHeight="false" outlineLevel="0" collapsed="false">
      <c r="A126" s="3" t="s">
        <v>337</v>
      </c>
      <c r="B126" s="3" t="s">
        <v>338</v>
      </c>
      <c r="C126" s="3" t="s">
        <v>104</v>
      </c>
      <c r="D126" s="3" t="s">
        <v>188</v>
      </c>
      <c r="E126" s="3" t="str">
        <f aca="false">A126&amp;".NS"</f>
        <v>PWL.NS</v>
      </c>
      <c r="F126" s="13" t="b">
        <f aca="false">IF(D126="MIDCAP50",TRUE(),IF(ISNUMBER(Fundamentals!B126),SUMPRODUCT(($D$2:$D$151="SMALLCAP100")*ISNUMBER(Fundamentals!$B$2:$B$151)*(Fundamentals!$B$2:$B$151&gt;Fundamentals!B126))+1&lt;=50,FALSE()))</f>
        <v>0</v>
      </c>
    </row>
    <row r="127" customFormat="false" ht="15" hidden="false" customHeight="false" outlineLevel="0" collapsed="false">
      <c r="A127" s="3" t="s">
        <v>339</v>
      </c>
      <c r="B127" s="3" t="s">
        <v>340</v>
      </c>
      <c r="C127" s="3" t="s">
        <v>76</v>
      </c>
      <c r="D127" s="3" t="s">
        <v>188</v>
      </c>
      <c r="E127" s="3" t="str">
        <f aca="false">A127&amp;".NS"</f>
        <v>PINELABS.NS</v>
      </c>
      <c r="F127" s="13" t="b">
        <f aca="false">IF(D127="MIDCAP50",TRUE(),IF(ISNUMBER(Fundamentals!B127),SUMPRODUCT(($D$2:$D$151="SMALLCAP100")*ISNUMBER(Fundamentals!$B$2:$B$151)*(Fundamentals!$B$2:$B$151&gt;Fundamentals!B127))+1&lt;=50,FALSE()))</f>
        <v>0</v>
      </c>
    </row>
    <row r="128" customFormat="false" ht="15" hidden="false" customHeight="false" outlineLevel="0" collapsed="false">
      <c r="A128" s="3" t="s">
        <v>341</v>
      </c>
      <c r="B128" s="3" t="s">
        <v>342</v>
      </c>
      <c r="C128" s="3" t="s">
        <v>76</v>
      </c>
      <c r="D128" s="3" t="s">
        <v>188</v>
      </c>
      <c r="E128" s="3" t="str">
        <f aca="false">A128&amp;".NS"</f>
        <v>PIRAMALFIN.NS</v>
      </c>
      <c r="F128" s="13" t="b">
        <f aca="false">IF(D128="MIDCAP50",TRUE(),IF(ISNUMBER(Fundamentals!B128),SUMPRODUCT(($D$2:$D$151="SMALLCAP100")*ISNUMBER(Fundamentals!$B$2:$B$151)*(Fundamentals!$B$2:$B$151&gt;Fundamentals!B128))+1&lt;=50,FALSE()))</f>
        <v>0</v>
      </c>
    </row>
    <row r="129" customFormat="false" ht="15" hidden="false" customHeight="false" outlineLevel="0" collapsed="false">
      <c r="A129" s="3" t="s">
        <v>343</v>
      </c>
      <c r="B129" s="3" t="s">
        <v>344</v>
      </c>
      <c r="C129" s="3" t="s">
        <v>79</v>
      </c>
      <c r="D129" s="3" t="s">
        <v>188</v>
      </c>
      <c r="E129" s="3" t="str">
        <f aca="false">A129&amp;".NS"</f>
        <v>PPLPHARMA.NS</v>
      </c>
      <c r="F129" s="13" t="b">
        <f aca="false">IF(D129="MIDCAP50",TRUE(),IF(ISNUMBER(Fundamentals!B129),SUMPRODUCT(($D$2:$D$151="SMALLCAP100")*ISNUMBER(Fundamentals!$B$2:$B$151)*(Fundamentals!$B$2:$B$151&gt;Fundamentals!B129))+1&lt;=50,FALSE()))</f>
        <v>0</v>
      </c>
    </row>
    <row r="130" customFormat="false" ht="15" hidden="false" customHeight="false" outlineLevel="0" collapsed="false">
      <c r="A130" s="3" t="s">
        <v>345</v>
      </c>
      <c r="B130" s="3" t="s">
        <v>346</v>
      </c>
      <c r="C130" s="3" t="s">
        <v>76</v>
      </c>
      <c r="D130" s="3" t="s">
        <v>188</v>
      </c>
      <c r="E130" s="3" t="str">
        <f aca="false">A130&amp;".NS"</f>
        <v>POONAWALLA.NS</v>
      </c>
      <c r="F130" s="13" t="b">
        <f aca="false">IF(D130="MIDCAP50",TRUE(),IF(ISNUMBER(Fundamentals!B130),SUMPRODUCT(($D$2:$D$151="SMALLCAP100")*ISNUMBER(Fundamentals!$B$2:$B$151)*(Fundamentals!$B$2:$B$151&gt;Fundamentals!B130))+1&lt;=50,FALSE()))</f>
        <v>0</v>
      </c>
    </row>
    <row r="131" customFormat="false" ht="15" hidden="false" customHeight="false" outlineLevel="0" collapsed="false">
      <c r="A131" s="3" t="s">
        <v>347</v>
      </c>
      <c r="B131" s="3" t="s">
        <v>348</v>
      </c>
      <c r="C131" s="3" t="s">
        <v>76</v>
      </c>
      <c r="D131" s="3" t="s">
        <v>188</v>
      </c>
      <c r="E131" s="3" t="str">
        <f aca="false">A131&amp;".NS"</f>
        <v>RBLBANK.NS</v>
      </c>
      <c r="F131" s="13" t="b">
        <f aca="false">IF(D131="MIDCAP50",TRUE(),IF(ISNUMBER(Fundamentals!B131),SUMPRODUCT(($D$2:$D$151="SMALLCAP100")*ISNUMBER(Fundamentals!$B$2:$B$151)*(Fundamentals!$B$2:$B$151&gt;Fundamentals!B131))+1&lt;=50,FALSE()))</f>
        <v>0</v>
      </c>
    </row>
    <row r="132" customFormat="false" ht="15" hidden="false" customHeight="false" outlineLevel="0" collapsed="false">
      <c r="A132" s="3" t="s">
        <v>349</v>
      </c>
      <c r="B132" s="3" t="s">
        <v>350</v>
      </c>
      <c r="C132" s="3" t="s">
        <v>111</v>
      </c>
      <c r="D132" s="3" t="s">
        <v>188</v>
      </c>
      <c r="E132" s="3" t="str">
        <f aca="false">A132&amp;".NS"</f>
        <v>REDINGTON.NS</v>
      </c>
      <c r="F132" s="13" t="b">
        <f aca="false">IF(D132="MIDCAP50",TRUE(),IF(ISNUMBER(Fundamentals!B132),SUMPRODUCT(($D$2:$D$151="SMALLCAP100")*ISNUMBER(Fundamentals!$B$2:$B$151)*(Fundamentals!$B$2:$B$151&gt;Fundamentals!B132))+1&lt;=50,FALSE()))</f>
        <v>0</v>
      </c>
    </row>
    <row r="133" customFormat="false" ht="15" hidden="false" customHeight="false" outlineLevel="0" collapsed="false">
      <c r="A133" s="3" t="s">
        <v>351</v>
      </c>
      <c r="B133" s="3" t="s">
        <v>352</v>
      </c>
      <c r="C133" s="3" t="s">
        <v>149</v>
      </c>
      <c r="D133" s="3" t="s">
        <v>188</v>
      </c>
      <c r="E133" s="3" t="str">
        <f aca="false">A133&amp;".NS"</f>
        <v>RPOWER.NS</v>
      </c>
      <c r="F133" s="13" t="b">
        <f aca="false">IF(D133="MIDCAP50",TRUE(),IF(ISNUMBER(Fundamentals!B133),SUMPRODUCT(($D$2:$D$151="SMALLCAP100")*ISNUMBER(Fundamentals!$B$2:$B$151)*(Fundamentals!$B$2:$B$151&gt;Fundamentals!B133))+1&lt;=50,FALSE()))</f>
        <v>0</v>
      </c>
    </row>
    <row r="134" customFormat="false" ht="15" hidden="false" customHeight="false" outlineLevel="0" collapsed="false">
      <c r="A134" s="3" t="s">
        <v>353</v>
      </c>
      <c r="B134" s="3" t="s">
        <v>354</v>
      </c>
      <c r="C134" s="3" t="s">
        <v>93</v>
      </c>
      <c r="D134" s="3" t="s">
        <v>188</v>
      </c>
      <c r="E134" s="3" t="str">
        <f aca="false">A134&amp;".NS"</f>
        <v>SAGILITY.NS</v>
      </c>
      <c r="F134" s="13" t="b">
        <f aca="false">IF(D134="MIDCAP50",TRUE(),IF(ISNUMBER(Fundamentals!B134),SUMPRODUCT(($D$2:$D$151="SMALLCAP100")*ISNUMBER(Fundamentals!$B$2:$B$151)*(Fundamentals!$B$2:$B$151&gt;Fundamentals!B134))+1&lt;=50,FALSE()))</f>
        <v>0</v>
      </c>
    </row>
    <row r="135" customFormat="false" ht="15" hidden="false" customHeight="false" outlineLevel="0" collapsed="false">
      <c r="A135" s="3" t="s">
        <v>355</v>
      </c>
      <c r="B135" s="3" t="s">
        <v>356</v>
      </c>
      <c r="C135" s="3" t="s">
        <v>79</v>
      </c>
      <c r="D135" s="3" t="s">
        <v>188</v>
      </c>
      <c r="E135" s="3" t="str">
        <f aca="false">A135&amp;".NS"</f>
        <v>SAILIFE.NS</v>
      </c>
      <c r="F135" s="13" t="b">
        <f aca="false">IF(D135="MIDCAP50",TRUE(),IF(ISNUMBER(Fundamentals!B135),SUMPRODUCT(($D$2:$D$151="SMALLCAP100")*ISNUMBER(Fundamentals!$B$2:$B$151)*(Fundamentals!$B$2:$B$151&gt;Fundamentals!B135))+1&lt;=50,FALSE()))</f>
        <v>0</v>
      </c>
    </row>
    <row r="136" customFormat="false" ht="15" hidden="false" customHeight="false" outlineLevel="0" collapsed="false">
      <c r="A136" s="3" t="s">
        <v>357</v>
      </c>
      <c r="B136" s="3" t="s">
        <v>358</v>
      </c>
      <c r="C136" s="3" t="s">
        <v>152</v>
      </c>
      <c r="D136" s="3" t="s">
        <v>188</v>
      </c>
      <c r="E136" s="3" t="str">
        <f aca="false">A136&amp;".NS"</f>
        <v>SARDAEN.NS</v>
      </c>
      <c r="F136" s="13" t="b">
        <f aca="false">IF(D136="MIDCAP50",TRUE(),IF(ISNUMBER(Fundamentals!B136),SUMPRODUCT(($D$2:$D$151="SMALLCAP100")*ISNUMBER(Fundamentals!$B$2:$B$151)*(Fundamentals!$B$2:$B$151&gt;Fundamentals!B136))+1&lt;=50,FALSE()))</f>
        <v>0</v>
      </c>
    </row>
    <row r="137" customFormat="false" ht="15" hidden="false" customHeight="false" outlineLevel="0" collapsed="false">
      <c r="A137" s="3" t="s">
        <v>359</v>
      </c>
      <c r="B137" s="3" t="s">
        <v>360</v>
      </c>
      <c r="C137" s="3" t="s">
        <v>114</v>
      </c>
      <c r="D137" s="3" t="s">
        <v>188</v>
      </c>
      <c r="E137" s="3" t="str">
        <f aca="false">A137&amp;".NS"</f>
        <v>SIGNATURE.NS</v>
      </c>
      <c r="F137" s="13" t="b">
        <f aca="false">IF(D137="MIDCAP50",TRUE(),IF(ISNUMBER(Fundamentals!B137),SUMPRODUCT(($D$2:$D$151="SMALLCAP100")*ISNUMBER(Fundamentals!$B$2:$B$151)*(Fundamentals!$B$2:$B$151&gt;Fundamentals!B137))+1&lt;=50,FALSE()))</f>
        <v>0</v>
      </c>
    </row>
    <row r="138" customFormat="false" ht="15" hidden="false" customHeight="false" outlineLevel="0" collapsed="false">
      <c r="A138" s="3" t="s">
        <v>361</v>
      </c>
      <c r="B138" s="3" t="s">
        <v>362</v>
      </c>
      <c r="C138" s="3" t="s">
        <v>88</v>
      </c>
      <c r="D138" s="3" t="s">
        <v>188</v>
      </c>
      <c r="E138" s="3" t="str">
        <f aca="false">A138&amp;".NS"</f>
        <v>SONACOMS.NS</v>
      </c>
      <c r="F138" s="13" t="b">
        <f aca="false">IF(D138="MIDCAP50",TRUE(),IF(ISNUMBER(Fundamentals!B138),SUMPRODUCT(($D$2:$D$151="SMALLCAP100")*ISNUMBER(Fundamentals!$B$2:$B$151)*(Fundamentals!$B$2:$B$151&gt;Fundamentals!B138))+1&lt;=50,FALSE()))</f>
        <v>0</v>
      </c>
    </row>
    <row r="139" customFormat="false" ht="15" hidden="false" customHeight="false" outlineLevel="0" collapsed="false">
      <c r="A139" s="3" t="s">
        <v>363</v>
      </c>
      <c r="B139" s="3" t="s">
        <v>364</v>
      </c>
      <c r="C139" s="3" t="s">
        <v>76</v>
      </c>
      <c r="D139" s="3" t="s">
        <v>188</v>
      </c>
      <c r="E139" s="3" t="str">
        <f aca="false">A139&amp;".NS"</f>
        <v>STARHEALTH.NS</v>
      </c>
      <c r="F139" s="13" t="b">
        <f aca="false">IF(D139="MIDCAP50",TRUE(),IF(ISNUMBER(Fundamentals!B139),SUMPRODUCT(($D$2:$D$151="SMALLCAP100")*ISNUMBER(Fundamentals!$B$2:$B$151)*(Fundamentals!$B$2:$B$151&gt;Fundamentals!B139))+1&lt;=50,FALSE()))</f>
        <v>0</v>
      </c>
    </row>
    <row r="140" customFormat="false" ht="15" hidden="false" customHeight="false" outlineLevel="0" collapsed="false">
      <c r="A140" s="3" t="s">
        <v>365</v>
      </c>
      <c r="B140" s="3" t="s">
        <v>366</v>
      </c>
      <c r="C140" s="3" t="s">
        <v>171</v>
      </c>
      <c r="D140" s="3" t="s">
        <v>188</v>
      </c>
      <c r="E140" s="3" t="str">
        <f aca="false">A140&amp;".NS"</f>
        <v>SWANCORP.NS</v>
      </c>
      <c r="F140" s="13" t="b">
        <f aca="false">IF(D140="MIDCAP50",TRUE(),IF(ISNUMBER(Fundamentals!B140),SUMPRODUCT(($D$2:$D$151="SMALLCAP100")*ISNUMBER(Fundamentals!$B$2:$B$151)*(Fundamentals!$B$2:$B$151&gt;Fundamentals!B140))+1&lt;=50,FALSE()))</f>
        <v>0</v>
      </c>
    </row>
    <row r="141" customFormat="false" ht="15" hidden="false" customHeight="false" outlineLevel="0" collapsed="false">
      <c r="A141" s="3" t="s">
        <v>367</v>
      </c>
      <c r="B141" s="3" t="s">
        <v>368</v>
      </c>
      <c r="C141" s="3" t="s">
        <v>79</v>
      </c>
      <c r="D141" s="3" t="s">
        <v>188</v>
      </c>
      <c r="E141" s="3" t="str">
        <f aca="false">A141&amp;".NS"</f>
        <v>SYNGENE.NS</v>
      </c>
      <c r="F141" s="13" t="b">
        <f aca="false">IF(D141="MIDCAP50",TRUE(),IF(ISNUMBER(Fundamentals!B141),SUMPRODUCT(($D$2:$D$151="SMALLCAP100")*ISNUMBER(Fundamentals!$B$2:$B$151)*(Fundamentals!$B$2:$B$151&gt;Fundamentals!B141))+1&lt;=50,FALSE()))</f>
        <v>0</v>
      </c>
    </row>
    <row r="142" customFormat="false" ht="15" hidden="false" customHeight="false" outlineLevel="0" collapsed="false">
      <c r="A142" s="3" t="s">
        <v>369</v>
      </c>
      <c r="B142" s="3" t="s">
        <v>370</v>
      </c>
      <c r="C142" s="3" t="s">
        <v>171</v>
      </c>
      <c r="D142" s="3" t="s">
        <v>188</v>
      </c>
      <c r="E142" s="3" t="str">
        <f aca="false">A142&amp;".NS"</f>
        <v>TATACHEM.NS</v>
      </c>
      <c r="F142" s="13" t="b">
        <f aca="false">IF(D142="MIDCAP50",TRUE(),IF(ISNUMBER(Fundamentals!B142),SUMPRODUCT(($D$2:$D$151="SMALLCAP100")*ISNUMBER(Fundamentals!$B$2:$B$151)*(Fundamentals!$B$2:$B$151&gt;Fundamentals!B142))+1&lt;=50,FALSE()))</f>
        <v>0</v>
      </c>
    </row>
    <row r="143" customFormat="false" ht="15" hidden="false" customHeight="false" outlineLevel="0" collapsed="false">
      <c r="A143" s="3" t="s">
        <v>371</v>
      </c>
      <c r="B143" s="3" t="s">
        <v>372</v>
      </c>
      <c r="C143" s="3" t="s">
        <v>93</v>
      </c>
      <c r="D143" s="3" t="s">
        <v>188</v>
      </c>
      <c r="E143" s="3" t="str">
        <f aca="false">A143&amp;".NS"</f>
        <v>TATATECH.NS</v>
      </c>
      <c r="F143" s="13" t="b">
        <f aca="false">IF(D143="MIDCAP50",TRUE(),IF(ISNUMBER(Fundamentals!B143),SUMPRODUCT(($D$2:$D$151="SMALLCAP100")*ISNUMBER(Fundamentals!$B$2:$B$151)*(Fundamentals!$B$2:$B$151&gt;Fundamentals!B143))+1&lt;=50,FALSE()))</f>
        <v>0</v>
      </c>
    </row>
    <row r="144" customFormat="false" ht="15" hidden="false" customHeight="false" outlineLevel="0" collapsed="false">
      <c r="A144" s="3" t="s">
        <v>373</v>
      </c>
      <c r="B144" s="3" t="s">
        <v>374</v>
      </c>
      <c r="C144" s="3" t="s">
        <v>88</v>
      </c>
      <c r="D144" s="3" t="s">
        <v>188</v>
      </c>
      <c r="E144" s="3" t="str">
        <f aca="false">A144&amp;".NS"</f>
        <v>TENNIND.NS</v>
      </c>
      <c r="F144" s="13" t="b">
        <f aca="false">IF(D144="MIDCAP50",TRUE(),IF(ISNUMBER(Fundamentals!B144),SUMPRODUCT(($D$2:$D$151="SMALLCAP100")*ISNUMBER(Fundamentals!$B$2:$B$151)*(Fundamentals!$B$2:$B$151&gt;Fundamentals!B144))+1&lt;=50,FALSE()))</f>
        <v>0</v>
      </c>
    </row>
    <row r="145" customFormat="false" ht="15" hidden="false" customHeight="false" outlineLevel="0" collapsed="false">
      <c r="A145" s="3" t="s">
        <v>375</v>
      </c>
      <c r="B145" s="3" t="s">
        <v>376</v>
      </c>
      <c r="C145" s="3" t="s">
        <v>300</v>
      </c>
      <c r="D145" s="3" t="s">
        <v>188</v>
      </c>
      <c r="E145" s="3" t="str">
        <f aca="false">A145&amp;".NS"</f>
        <v>RAMCOCEM.NS</v>
      </c>
      <c r="F145" s="13" t="b">
        <f aca="false">IF(D145="MIDCAP50",TRUE(),IF(ISNUMBER(Fundamentals!B145),SUMPRODUCT(($D$2:$D$151="SMALLCAP100")*ISNUMBER(Fundamentals!$B$2:$B$151)*(Fundamentals!$B$2:$B$151&gt;Fundamentals!B145))+1&lt;=50,FALSE()))</f>
        <v>0</v>
      </c>
    </row>
    <row r="146" customFormat="false" ht="15" hidden="false" customHeight="false" outlineLevel="0" collapsed="false">
      <c r="A146" s="3" t="s">
        <v>377</v>
      </c>
      <c r="B146" s="3" t="s">
        <v>378</v>
      </c>
      <c r="C146" s="3" t="s">
        <v>72</v>
      </c>
      <c r="D146" s="3" t="s">
        <v>188</v>
      </c>
      <c r="E146" s="3" t="str">
        <f aca="false">A146&amp;".NS"</f>
        <v>TRITURBINE.NS</v>
      </c>
      <c r="F146" s="13" t="b">
        <f aca="false">IF(D146="MIDCAP50",TRUE(),IF(ISNUMBER(Fundamentals!B146),SUMPRODUCT(($D$2:$D$151="SMALLCAP100")*ISNUMBER(Fundamentals!$B$2:$B$151)*(Fundamentals!$B$2:$B$151&gt;Fundamentals!B146))+1&lt;=50,FALSE()))</f>
        <v>0</v>
      </c>
    </row>
    <row r="147" customFormat="false" ht="15" hidden="false" customHeight="false" outlineLevel="0" collapsed="false">
      <c r="A147" s="3" t="s">
        <v>379</v>
      </c>
      <c r="B147" s="3" t="s">
        <v>380</v>
      </c>
      <c r="C147" s="3" t="s">
        <v>104</v>
      </c>
      <c r="D147" s="3" t="s">
        <v>188</v>
      </c>
      <c r="E147" s="3" t="str">
        <f aca="false">A147&amp;".NS"</f>
        <v>URBANCO.NS</v>
      </c>
      <c r="F147" s="13" t="b">
        <f aca="false">IF(D147="MIDCAP50",TRUE(),IF(ISNUMBER(Fundamentals!B147),SUMPRODUCT(($D$2:$D$151="SMALLCAP100")*ISNUMBER(Fundamentals!$B$2:$B$151)*(Fundamentals!$B$2:$B$151&gt;Fundamentals!B147))+1&lt;=50,FALSE()))</f>
        <v>0</v>
      </c>
    </row>
    <row r="148" customFormat="false" ht="15" hidden="false" customHeight="false" outlineLevel="0" collapsed="false">
      <c r="A148" s="3" t="s">
        <v>381</v>
      </c>
      <c r="B148" s="3" t="s">
        <v>382</v>
      </c>
      <c r="C148" s="3" t="s">
        <v>72</v>
      </c>
      <c r="D148" s="3" t="s">
        <v>188</v>
      </c>
      <c r="E148" s="3" t="str">
        <f aca="false">A148&amp;".NS"</f>
        <v>WELCORP.NS</v>
      </c>
      <c r="F148" s="13" t="b">
        <f aca="false">IF(D148="MIDCAP50",TRUE(),IF(ISNUMBER(Fundamentals!B148),SUMPRODUCT(($D$2:$D$151="SMALLCAP100")*ISNUMBER(Fundamentals!$B$2:$B$151)*(Fundamentals!$B$2:$B$151&gt;Fundamentals!B148))+1&lt;=50,FALSE()))</f>
        <v>0</v>
      </c>
    </row>
    <row r="149" customFormat="false" ht="15" hidden="false" customHeight="false" outlineLevel="0" collapsed="false">
      <c r="A149" s="3" t="s">
        <v>383</v>
      </c>
      <c r="B149" s="3" t="s">
        <v>384</v>
      </c>
      <c r="C149" s="3" t="s">
        <v>101</v>
      </c>
      <c r="D149" s="3" t="s">
        <v>188</v>
      </c>
      <c r="E149" s="3" t="str">
        <f aca="false">A149&amp;".NS"</f>
        <v>WHIRLPOOL.NS</v>
      </c>
      <c r="F149" s="13" t="b">
        <f aca="false">IF(D149="MIDCAP50",TRUE(),IF(ISNUMBER(Fundamentals!B149),SUMPRODUCT(($D$2:$D$151="SMALLCAP100")*ISNUMBER(Fundamentals!$B$2:$B$151)*(Fundamentals!$B$2:$B$151&gt;Fundamentals!B149))+1&lt;=50,FALSE()))</f>
        <v>0</v>
      </c>
    </row>
    <row r="150" customFormat="false" ht="15" hidden="false" customHeight="false" outlineLevel="0" collapsed="false">
      <c r="A150" s="3" t="s">
        <v>385</v>
      </c>
      <c r="B150" s="3" t="s">
        <v>386</v>
      </c>
      <c r="C150" s="3" t="s">
        <v>79</v>
      </c>
      <c r="D150" s="3" t="s">
        <v>188</v>
      </c>
      <c r="E150" s="3" t="str">
        <f aca="false">A150&amp;".NS"</f>
        <v>WOCKPHARMA.NS</v>
      </c>
      <c r="F150" s="13" t="b">
        <f aca="false">IF(D150="MIDCAP50",TRUE(),IF(ISNUMBER(Fundamentals!B150),SUMPRODUCT(($D$2:$D$151="SMALLCAP100")*ISNUMBER(Fundamentals!$B$2:$B$151)*(Fundamentals!$B$2:$B$151&gt;Fundamentals!B150))+1&lt;=50,FALSE()))</f>
        <v>0</v>
      </c>
    </row>
    <row r="151" customFormat="false" ht="15" hidden="false" customHeight="false" outlineLevel="0" collapsed="false">
      <c r="A151" s="3" t="s">
        <v>387</v>
      </c>
      <c r="B151" s="3" t="s">
        <v>388</v>
      </c>
      <c r="C151" s="3" t="s">
        <v>93</v>
      </c>
      <c r="D151" s="3" t="s">
        <v>188</v>
      </c>
      <c r="E151" s="3" t="str">
        <f aca="false">A151&amp;".NS"</f>
        <v>ZENSARTECH.NS</v>
      </c>
      <c r="F151" s="13" t="b">
        <f aca="false">IF(D151="MIDCAP50",TRUE(),IF(ISNUMBER(Fundamentals!B151),SUMPRODUCT(($D$2:$D$151="SMALLCAP100")*ISNUMBER(Fundamentals!$B$2:$B$151)*(Fundamentals!$B$2:$B$151&gt;Fundamentals!B151))+1&lt;=50,FALSE()))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4"/>
    <col collapsed="false" customWidth="true" hidden="false" outlineLevel="0" max="18" min="18" style="0" width="22"/>
  </cols>
  <sheetData>
    <row r="1" customFormat="false" ht="15" hidden="false" customHeight="false" outlineLevel="0" collapsed="false">
      <c r="A1" s="6" t="s">
        <v>35</v>
      </c>
      <c r="B1" s="6" t="s">
        <v>389</v>
      </c>
      <c r="C1" s="6" t="s">
        <v>390</v>
      </c>
      <c r="D1" s="6" t="s">
        <v>391</v>
      </c>
      <c r="E1" s="6" t="s">
        <v>392</v>
      </c>
      <c r="F1" s="6" t="s">
        <v>393</v>
      </c>
      <c r="G1" s="6" t="s">
        <v>394</v>
      </c>
      <c r="H1" s="6" t="s">
        <v>395</v>
      </c>
      <c r="I1" s="6" t="s">
        <v>396</v>
      </c>
      <c r="J1" s="6" t="s">
        <v>397</v>
      </c>
      <c r="K1" s="6" t="s">
        <v>398</v>
      </c>
      <c r="L1" s="6" t="s">
        <v>399</v>
      </c>
      <c r="M1" s="6" t="s">
        <v>400</v>
      </c>
      <c r="N1" s="6" t="s">
        <v>401</v>
      </c>
      <c r="O1" s="6" t="s">
        <v>402</v>
      </c>
      <c r="P1" s="6" t="s">
        <v>403</v>
      </c>
      <c r="Q1" s="6" t="s">
        <v>404</v>
      </c>
      <c r="R1" s="6" t="s">
        <v>405</v>
      </c>
    </row>
    <row r="2" customFormat="false" ht="15" hidden="false" customHeight="false" outlineLevel="0" collapsed="false">
      <c r="A2" s="7" t="str">
        <f aca="false">Tickers!A2</f>
        <v>APLAPOLLO</v>
      </c>
    </row>
    <row r="3" customFormat="false" ht="15" hidden="false" customHeight="false" outlineLevel="0" collapsed="false">
      <c r="A3" s="7" t="str">
        <f aca="false">Tickers!A3</f>
        <v>AUBANK</v>
      </c>
    </row>
    <row r="4" customFormat="false" ht="15" hidden="false" customHeight="false" outlineLevel="0" collapsed="false">
      <c r="A4" s="7" t="str">
        <f aca="false">Tickers!A4</f>
        <v>ALKEM</v>
      </c>
    </row>
    <row r="5" customFormat="false" ht="15" hidden="false" customHeight="false" outlineLevel="0" collapsed="false">
      <c r="A5" s="7" t="str">
        <f aca="false">Tickers!A5</f>
        <v>ASHOKLEY</v>
      </c>
    </row>
    <row r="6" customFormat="false" ht="15" hidden="false" customHeight="false" outlineLevel="0" collapsed="false">
      <c r="A6" s="7" t="str">
        <f aca="false">Tickers!A6</f>
        <v>AUROPHARMA</v>
      </c>
    </row>
    <row r="7" customFormat="false" ht="15" hidden="false" customHeight="false" outlineLevel="0" collapsed="false">
      <c r="A7" s="7" t="str">
        <f aca="false">Tickers!A7</f>
        <v>BSE</v>
      </c>
    </row>
    <row r="8" customFormat="false" ht="15" hidden="false" customHeight="false" outlineLevel="0" collapsed="false">
      <c r="A8" s="7" t="str">
        <f aca="false">Tickers!A8</f>
        <v>BHARATFORG</v>
      </c>
    </row>
    <row r="9" customFormat="false" ht="15" hidden="false" customHeight="false" outlineLevel="0" collapsed="false">
      <c r="A9" s="7" t="str">
        <f aca="false">Tickers!A9</f>
        <v>BHEL</v>
      </c>
    </row>
    <row r="10" customFormat="false" ht="15" hidden="false" customHeight="false" outlineLevel="0" collapsed="false">
      <c r="A10" s="7" t="str">
        <f aca="false">Tickers!A10</f>
        <v>COFORGE</v>
      </c>
    </row>
    <row r="11" customFormat="false" ht="15" hidden="false" customHeight="false" outlineLevel="0" collapsed="false">
      <c r="A11" s="7" t="str">
        <f aca="false">Tickers!A11</f>
        <v>COLPAL</v>
      </c>
    </row>
    <row r="12" customFormat="false" ht="15" hidden="false" customHeight="false" outlineLevel="0" collapsed="false">
      <c r="A12" s="7" t="str">
        <f aca="false">Tickers!A12</f>
        <v>DABUR</v>
      </c>
    </row>
    <row r="13" customFormat="false" ht="15" hidden="false" customHeight="false" outlineLevel="0" collapsed="false">
      <c r="A13" s="7" t="str">
        <f aca="false">Tickers!A13</f>
        <v>DIXON</v>
      </c>
    </row>
    <row r="14" customFormat="false" ht="15" hidden="false" customHeight="false" outlineLevel="0" collapsed="false">
      <c r="A14" s="7" t="str">
        <f aca="false">Tickers!A14</f>
        <v>NYKAA</v>
      </c>
    </row>
    <row r="15" customFormat="false" ht="15" hidden="false" customHeight="false" outlineLevel="0" collapsed="false">
      <c r="A15" s="7" t="str">
        <f aca="false">Tickers!A15</f>
        <v>FEDERALBNK</v>
      </c>
    </row>
    <row r="16" customFormat="false" ht="15" hidden="false" customHeight="false" outlineLevel="0" collapsed="false">
      <c r="A16" s="7" t="str">
        <f aca="false">Tickers!A16</f>
        <v>FORTIS</v>
      </c>
    </row>
    <row r="17" customFormat="false" ht="15" hidden="false" customHeight="false" outlineLevel="0" collapsed="false">
      <c r="A17" s="7" t="str">
        <f aca="false">Tickers!A17</f>
        <v>GMRAIRPORT</v>
      </c>
    </row>
    <row r="18" customFormat="false" ht="15" hidden="false" customHeight="false" outlineLevel="0" collapsed="false">
      <c r="A18" s="7" t="str">
        <f aca="false">Tickers!A18</f>
        <v>GODREJPROP</v>
      </c>
    </row>
    <row r="19" customFormat="false" ht="15" hidden="false" customHeight="false" outlineLevel="0" collapsed="false">
      <c r="A19" s="7" t="str">
        <f aca="false">Tickers!A19</f>
        <v>HAVELLS</v>
      </c>
    </row>
    <row r="20" customFormat="false" ht="15" hidden="false" customHeight="false" outlineLevel="0" collapsed="false">
      <c r="A20" s="7" t="str">
        <f aca="false">Tickers!A20</f>
        <v>HEROMOTOCO</v>
      </c>
    </row>
    <row r="21" customFormat="false" ht="15" hidden="false" customHeight="false" outlineLevel="0" collapsed="false">
      <c r="A21" s="7" t="str">
        <f aca="false">Tickers!A21</f>
        <v>HINDPETRO</v>
      </c>
    </row>
    <row r="22" customFormat="false" ht="15" hidden="false" customHeight="false" outlineLevel="0" collapsed="false">
      <c r="A22" s="7" t="str">
        <f aca="false">Tickers!A22</f>
        <v>ICICIGI</v>
      </c>
    </row>
    <row r="23" customFormat="false" ht="15" hidden="false" customHeight="false" outlineLevel="0" collapsed="false">
      <c r="A23" s="7" t="str">
        <f aca="false">Tickers!A23</f>
        <v>IDFCFIRSTB</v>
      </c>
    </row>
    <row r="24" customFormat="false" ht="15" hidden="false" customHeight="false" outlineLevel="0" collapsed="false">
      <c r="A24" s="7" t="str">
        <f aca="false">Tickers!A24</f>
        <v>INDUSTOWER</v>
      </c>
    </row>
    <row r="25" customFormat="false" ht="15" hidden="false" customHeight="false" outlineLevel="0" collapsed="false">
      <c r="A25" s="7" t="str">
        <f aca="false">Tickers!A25</f>
        <v>INDUSINDBK</v>
      </c>
    </row>
    <row r="26" customFormat="false" ht="15" hidden="false" customHeight="false" outlineLevel="0" collapsed="false">
      <c r="A26" s="7" t="str">
        <f aca="false">Tickers!A26</f>
        <v>NAUKRI</v>
      </c>
    </row>
    <row r="27" customFormat="false" ht="15" hidden="false" customHeight="false" outlineLevel="0" collapsed="false">
      <c r="A27" s="7" t="str">
        <f aca="false">Tickers!A27</f>
        <v>LAURUSLABS</v>
      </c>
    </row>
    <row r="28" customFormat="false" ht="15" hidden="false" customHeight="false" outlineLevel="0" collapsed="false">
      <c r="A28" s="7" t="str">
        <f aca="false">Tickers!A28</f>
        <v>LUPIN</v>
      </c>
    </row>
    <row r="29" customFormat="false" ht="15" hidden="false" customHeight="false" outlineLevel="0" collapsed="false">
      <c r="A29" s="7" t="str">
        <f aca="false">Tickers!A29</f>
        <v>MANKIND</v>
      </c>
    </row>
    <row r="30" customFormat="false" ht="15" hidden="false" customHeight="false" outlineLevel="0" collapsed="false">
      <c r="A30" s="7" t="str">
        <f aca="false">Tickers!A30</f>
        <v>MARICO</v>
      </c>
    </row>
    <row r="31" customFormat="false" ht="15" hidden="false" customHeight="false" outlineLevel="0" collapsed="false">
      <c r="A31" s="7" t="str">
        <f aca="false">Tickers!A31</f>
        <v>MFSL</v>
      </c>
    </row>
    <row r="32" customFormat="false" ht="15" hidden="false" customHeight="false" outlineLevel="0" collapsed="false">
      <c r="A32" s="7" t="str">
        <f aca="false">Tickers!A32</f>
        <v>MPHASIS</v>
      </c>
    </row>
    <row r="33" customFormat="false" ht="15" hidden="false" customHeight="false" outlineLevel="0" collapsed="false">
      <c r="A33" s="7" t="str">
        <f aca="false">Tickers!A33</f>
        <v>MCX</v>
      </c>
    </row>
    <row r="34" customFormat="false" ht="15" hidden="false" customHeight="false" outlineLevel="0" collapsed="false">
      <c r="A34" s="7" t="str">
        <f aca="false">Tickers!A34</f>
        <v>NHPC</v>
      </c>
    </row>
    <row r="35" customFormat="false" ht="15" hidden="false" customHeight="false" outlineLevel="0" collapsed="false">
      <c r="A35" s="7" t="str">
        <f aca="false">Tickers!A35</f>
        <v>NMDC</v>
      </c>
    </row>
    <row r="36" customFormat="false" ht="15" hidden="false" customHeight="false" outlineLevel="0" collapsed="false">
      <c r="A36" s="7" t="str">
        <f aca="false">Tickers!A36</f>
        <v>OIL</v>
      </c>
    </row>
    <row r="37" customFormat="false" ht="15" hidden="false" customHeight="false" outlineLevel="0" collapsed="false">
      <c r="A37" s="7" t="str">
        <f aca="false">Tickers!A37</f>
        <v>PAYTM</v>
      </c>
    </row>
    <row r="38" customFormat="false" ht="15" hidden="false" customHeight="false" outlineLevel="0" collapsed="false">
      <c r="A38" s="7" t="str">
        <f aca="false">Tickers!A38</f>
        <v>POLICYBZR</v>
      </c>
    </row>
    <row r="39" customFormat="false" ht="15" hidden="false" customHeight="false" outlineLevel="0" collapsed="false">
      <c r="A39" s="7" t="str">
        <f aca="false">Tickers!A39</f>
        <v>PERSISTENT</v>
      </c>
    </row>
    <row r="40" customFormat="false" ht="15" hidden="false" customHeight="false" outlineLevel="0" collapsed="false">
      <c r="A40" s="7" t="str">
        <f aca="false">Tickers!A40</f>
        <v>PHOENIXLTD</v>
      </c>
    </row>
    <row r="41" customFormat="false" ht="15" hidden="false" customHeight="false" outlineLevel="0" collapsed="false">
      <c r="A41" s="7" t="str">
        <f aca="false">Tickers!A41</f>
        <v>POLYCAB</v>
      </c>
    </row>
    <row r="42" customFormat="false" ht="15" hidden="false" customHeight="false" outlineLevel="0" collapsed="false">
      <c r="A42" s="7" t="str">
        <f aca="false">Tickers!A42</f>
        <v>PRESTIGE</v>
      </c>
    </row>
    <row r="43" customFormat="false" ht="15" hidden="false" customHeight="false" outlineLevel="0" collapsed="false">
      <c r="A43" s="7" t="str">
        <f aca="false">Tickers!A43</f>
        <v>SBICARD</v>
      </c>
    </row>
    <row r="44" customFormat="false" ht="15" hidden="false" customHeight="false" outlineLevel="0" collapsed="false">
      <c r="A44" s="7" t="str">
        <f aca="false">Tickers!A44</f>
        <v>SRF</v>
      </c>
    </row>
    <row r="45" customFormat="false" ht="15" hidden="false" customHeight="false" outlineLevel="0" collapsed="false">
      <c r="A45" s="7" t="str">
        <f aca="false">Tickers!A45</f>
        <v>SUPREMEIND</v>
      </c>
    </row>
    <row r="46" customFormat="false" ht="15" hidden="false" customHeight="false" outlineLevel="0" collapsed="false">
      <c r="A46" s="7" t="str">
        <f aca="false">Tickers!A46</f>
        <v>SUZLON</v>
      </c>
    </row>
    <row r="47" customFormat="false" ht="15" hidden="false" customHeight="false" outlineLevel="0" collapsed="false">
      <c r="A47" s="7" t="str">
        <f aca="false">Tickers!A47</f>
        <v>SWIGGY</v>
      </c>
    </row>
    <row r="48" customFormat="false" ht="15" hidden="false" customHeight="false" outlineLevel="0" collapsed="false">
      <c r="A48" s="7" t="str">
        <f aca="false">Tickers!A48</f>
        <v>TIINDIA</v>
      </c>
    </row>
    <row r="49" customFormat="false" ht="15" hidden="false" customHeight="false" outlineLevel="0" collapsed="false">
      <c r="A49" s="7" t="str">
        <f aca="false">Tickers!A49</f>
        <v>UPL</v>
      </c>
    </row>
    <row r="50" customFormat="false" ht="15" hidden="false" customHeight="false" outlineLevel="0" collapsed="false">
      <c r="A50" s="7" t="str">
        <f aca="false">Tickers!A50</f>
        <v>WAAREEENER</v>
      </c>
    </row>
    <row r="51" customFormat="false" ht="15" hidden="false" customHeight="false" outlineLevel="0" collapsed="false">
      <c r="A51" s="7" t="str">
        <f aca="false">Tickers!A51</f>
        <v>YESBANK</v>
      </c>
    </row>
    <row r="52" customFormat="false" ht="15" hidden="false" customHeight="false" outlineLevel="0" collapsed="false">
      <c r="A52" s="7" t="str">
        <f aca="false">Tickers!A52</f>
        <v>AARTIIND</v>
      </c>
    </row>
    <row r="53" customFormat="false" ht="15" hidden="false" customHeight="false" outlineLevel="0" collapsed="false">
      <c r="A53" s="7" t="str">
        <f aca="false">Tickers!A53</f>
        <v>ABREL</v>
      </c>
    </row>
    <row r="54" customFormat="false" ht="15" hidden="false" customHeight="false" outlineLevel="0" collapsed="false">
      <c r="A54" s="7" t="str">
        <f aca="false">Tickers!A54</f>
        <v>AEGISLOG</v>
      </c>
    </row>
    <row r="55" customFormat="false" ht="15" hidden="false" customHeight="false" outlineLevel="0" collapsed="false">
      <c r="A55" s="7" t="str">
        <f aca="false">Tickers!A55</f>
        <v>AFCONS</v>
      </c>
    </row>
    <row r="56" customFormat="false" ht="15" hidden="false" customHeight="false" outlineLevel="0" collapsed="false">
      <c r="A56" s="7" t="str">
        <f aca="false">Tickers!A56</f>
        <v>AFFLE</v>
      </c>
    </row>
    <row r="57" customFormat="false" ht="15" hidden="false" customHeight="false" outlineLevel="0" collapsed="false">
      <c r="A57" s="7" t="str">
        <f aca="false">Tickers!A57</f>
        <v>ARE&amp;M</v>
      </c>
    </row>
    <row r="58" customFormat="false" ht="15" hidden="false" customHeight="false" outlineLevel="0" collapsed="false">
      <c r="A58" s="7" t="str">
        <f aca="false">Tickers!A58</f>
        <v>AMBER</v>
      </c>
    </row>
    <row r="59" customFormat="false" ht="15" hidden="false" customHeight="false" outlineLevel="0" collapsed="false">
      <c r="A59" s="7" t="str">
        <f aca="false">Tickers!A59</f>
        <v>ANANDRATHI</v>
      </c>
    </row>
    <row r="60" customFormat="false" ht="15" hidden="false" customHeight="false" outlineLevel="0" collapsed="false">
      <c r="A60" s="7" t="str">
        <f aca="false">Tickers!A60</f>
        <v>ANANTRAJ</v>
      </c>
    </row>
    <row r="61" customFormat="false" ht="15" hidden="false" customHeight="false" outlineLevel="0" collapsed="false">
      <c r="A61" s="7" t="str">
        <f aca="false">Tickers!A61</f>
        <v>ANGELONE</v>
      </c>
    </row>
    <row r="62" customFormat="false" ht="15" hidden="false" customHeight="false" outlineLevel="0" collapsed="false">
      <c r="A62" s="7" t="str">
        <f aca="false">Tickers!A62</f>
        <v>APTUS</v>
      </c>
    </row>
    <row r="63" customFormat="false" ht="15" hidden="false" customHeight="false" outlineLevel="0" collapsed="false">
      <c r="A63" s="7" t="str">
        <f aca="false">Tickers!A63</f>
        <v>ASTERDM</v>
      </c>
    </row>
    <row r="64" customFormat="false" ht="15" hidden="false" customHeight="false" outlineLevel="0" collapsed="false">
      <c r="A64" s="7" t="str">
        <f aca="false">Tickers!A64</f>
        <v>ATHERENERG</v>
      </c>
    </row>
    <row r="65" customFormat="false" ht="15" hidden="false" customHeight="false" outlineLevel="0" collapsed="false">
      <c r="A65" s="7" t="str">
        <f aca="false">Tickers!A65</f>
        <v>BEML</v>
      </c>
    </row>
    <row r="66" customFormat="false" ht="15" hidden="false" customHeight="false" outlineLevel="0" collapsed="false">
      <c r="A66" s="7" t="str">
        <f aca="false">Tickers!A66</f>
        <v>BLS</v>
      </c>
    </row>
    <row r="67" customFormat="false" ht="15" hidden="false" customHeight="false" outlineLevel="0" collapsed="false">
      <c r="A67" s="7" t="str">
        <f aca="false">Tickers!A67</f>
        <v>BANDHANBNK</v>
      </c>
    </row>
    <row r="68" customFormat="false" ht="15" hidden="false" customHeight="false" outlineLevel="0" collapsed="false">
      <c r="A68" s="7" t="str">
        <f aca="false">Tickers!A68</f>
        <v>FIRSTCRY</v>
      </c>
    </row>
    <row r="69" customFormat="false" ht="15" hidden="false" customHeight="false" outlineLevel="0" collapsed="false">
      <c r="A69" s="7" t="str">
        <f aca="false">Tickers!A69</f>
        <v>BRIGADE</v>
      </c>
    </row>
    <row r="70" customFormat="false" ht="15" hidden="false" customHeight="false" outlineLevel="0" collapsed="false">
      <c r="A70" s="7" t="str">
        <f aca="false">Tickers!A70</f>
        <v>CESC</v>
      </c>
    </row>
    <row r="71" customFormat="false" ht="15" hidden="false" customHeight="false" outlineLevel="0" collapsed="false">
      <c r="A71" s="7" t="str">
        <f aca="false">Tickers!A71</f>
        <v>CGCL</v>
      </c>
    </row>
    <row r="72" customFormat="false" ht="15" hidden="false" customHeight="false" outlineLevel="0" collapsed="false">
      <c r="A72" s="7" t="str">
        <f aca="false">Tickers!A72</f>
        <v>CASTROLIND</v>
      </c>
    </row>
    <row r="73" customFormat="false" ht="15" hidden="false" customHeight="false" outlineLevel="0" collapsed="false">
      <c r="A73" s="7" t="str">
        <f aca="false">Tickers!A73</f>
        <v>CDSL</v>
      </c>
    </row>
    <row r="74" customFormat="false" ht="15" hidden="false" customHeight="false" outlineLevel="0" collapsed="false">
      <c r="A74" s="7" t="str">
        <f aca="false">Tickers!A74</f>
        <v>CHAMBLFERT</v>
      </c>
    </row>
    <row r="75" customFormat="false" ht="15" hidden="false" customHeight="false" outlineLevel="0" collapsed="false">
      <c r="A75" s="7" t="str">
        <f aca="false">Tickers!A75</f>
        <v>CHOLAHLDNG</v>
      </c>
    </row>
    <row r="76" customFormat="false" ht="15" hidden="false" customHeight="false" outlineLevel="0" collapsed="false">
      <c r="A76" s="7" t="str">
        <f aca="false">Tickers!A76</f>
        <v>CUB</v>
      </c>
    </row>
    <row r="77" customFormat="false" ht="15" hidden="false" customHeight="false" outlineLevel="0" collapsed="false">
      <c r="A77" s="7" t="str">
        <f aca="false">Tickers!A77</f>
        <v>COHANCE</v>
      </c>
    </row>
    <row r="78" customFormat="false" ht="15" hidden="false" customHeight="false" outlineLevel="0" collapsed="false">
      <c r="A78" s="7" t="str">
        <f aca="false">Tickers!A78</f>
        <v>CAMS</v>
      </c>
    </row>
    <row r="79" customFormat="false" ht="15" hidden="false" customHeight="false" outlineLevel="0" collapsed="false">
      <c r="A79" s="7" t="str">
        <f aca="false">Tickers!A79</f>
        <v>CREDITACC</v>
      </c>
    </row>
    <row r="80" customFormat="false" ht="15" hidden="false" customHeight="false" outlineLevel="0" collapsed="false">
      <c r="A80" s="7" t="str">
        <f aca="false">Tickers!A80</f>
        <v>CROMPTON</v>
      </c>
    </row>
    <row r="81" customFormat="false" ht="15" hidden="false" customHeight="false" outlineLevel="0" collapsed="false">
      <c r="A81" s="7" t="str">
        <f aca="false">Tickers!A81</f>
        <v>DATAPATTNS</v>
      </c>
    </row>
    <row r="82" customFormat="false" ht="15" hidden="false" customHeight="false" outlineLevel="0" collapsed="false">
      <c r="A82" s="7" t="str">
        <f aca="false">Tickers!A82</f>
        <v>DEEPAKFERT</v>
      </c>
    </row>
    <row r="83" customFormat="false" ht="15" hidden="false" customHeight="false" outlineLevel="0" collapsed="false">
      <c r="A83" s="7" t="str">
        <f aca="false">Tickers!A83</f>
        <v>DELHIVERY</v>
      </c>
    </row>
    <row r="84" customFormat="false" ht="15" hidden="false" customHeight="false" outlineLevel="0" collapsed="false">
      <c r="A84" s="7" t="str">
        <f aca="false">Tickers!A84</f>
        <v>DEVYANI</v>
      </c>
    </row>
    <row r="85" customFormat="false" ht="15" hidden="false" customHeight="false" outlineLevel="0" collapsed="false">
      <c r="A85" s="7" t="str">
        <f aca="false">Tickers!A85</f>
        <v>LALPATHLAB</v>
      </c>
    </row>
    <row r="86" customFormat="false" ht="15" hidden="false" customHeight="false" outlineLevel="0" collapsed="false">
      <c r="A86" s="7" t="str">
        <f aca="false">Tickers!A86</f>
        <v>FSL</v>
      </c>
    </row>
    <row r="87" customFormat="false" ht="15" hidden="false" customHeight="false" outlineLevel="0" collapsed="false">
      <c r="A87" s="7" t="str">
        <f aca="false">Tickers!A87</f>
        <v>FIVESTAR</v>
      </c>
    </row>
    <row r="88" customFormat="false" ht="15" hidden="false" customHeight="false" outlineLevel="0" collapsed="false">
      <c r="A88" s="7" t="str">
        <f aca="false">Tickers!A88</f>
        <v>FORCEMOT</v>
      </c>
    </row>
    <row r="89" customFormat="false" ht="15" hidden="false" customHeight="false" outlineLevel="0" collapsed="false">
      <c r="A89" s="7" t="str">
        <f aca="false">Tickers!A89</f>
        <v>GRSE</v>
      </c>
    </row>
    <row r="90" customFormat="false" ht="15" hidden="false" customHeight="false" outlineLevel="0" collapsed="false">
      <c r="A90" s="7" t="str">
        <f aca="false">Tickers!A90</f>
        <v>GLAND</v>
      </c>
    </row>
    <row r="91" customFormat="false" ht="15" hidden="false" customHeight="false" outlineLevel="0" collapsed="false">
      <c r="A91" s="7" t="str">
        <f aca="false">Tickers!A91</f>
        <v>GPIL</v>
      </c>
    </row>
    <row r="92" customFormat="false" ht="15" hidden="false" customHeight="false" outlineLevel="0" collapsed="false">
      <c r="A92" s="7" t="str">
        <f aca="false">Tickers!A92</f>
        <v>GESHIP</v>
      </c>
    </row>
    <row r="93" customFormat="false" ht="15" hidden="false" customHeight="false" outlineLevel="0" collapsed="false">
      <c r="A93" s="7" t="str">
        <f aca="false">Tickers!A93</f>
        <v>GMDCLTD</v>
      </c>
    </row>
    <row r="94" customFormat="false" ht="15" hidden="false" customHeight="false" outlineLevel="0" collapsed="false">
      <c r="A94" s="7" t="str">
        <f aca="false">Tickers!A94</f>
        <v>HBLENGINE</v>
      </c>
    </row>
    <row r="95" customFormat="false" ht="15" hidden="false" customHeight="false" outlineLevel="0" collapsed="false">
      <c r="A95" s="7" t="str">
        <f aca="false">Tickers!A95</f>
        <v>HSCL</v>
      </c>
    </row>
    <row r="96" customFormat="false" ht="15" hidden="false" customHeight="false" outlineLevel="0" collapsed="false">
      <c r="A96" s="7" t="str">
        <f aca="false">Tickers!A96</f>
        <v>HINDCOPPER</v>
      </c>
    </row>
    <row r="97" customFormat="false" ht="15" hidden="false" customHeight="false" outlineLevel="0" collapsed="false">
      <c r="A97" s="7" t="str">
        <f aca="false">Tickers!A97</f>
        <v>IDBI</v>
      </c>
    </row>
    <row r="98" customFormat="false" ht="15" hidden="false" customHeight="false" outlineLevel="0" collapsed="false">
      <c r="A98" s="7" t="str">
        <f aca="false">Tickers!A98</f>
        <v>IFCI</v>
      </c>
    </row>
    <row r="99" customFormat="false" ht="15" hidden="false" customHeight="false" outlineLevel="0" collapsed="false">
      <c r="A99" s="7" t="str">
        <f aca="false">Tickers!A99</f>
        <v>IIFL</v>
      </c>
    </row>
    <row r="100" customFormat="false" ht="15" hidden="false" customHeight="false" outlineLevel="0" collapsed="false">
      <c r="A100" s="7" t="str">
        <f aca="false">Tickers!A100</f>
        <v>IRCON</v>
      </c>
    </row>
    <row r="101" customFormat="false" ht="15" hidden="false" customHeight="false" outlineLevel="0" collapsed="false">
      <c r="A101" s="7" t="str">
        <f aca="false">Tickers!A101</f>
        <v>ITI</v>
      </c>
    </row>
    <row r="102" customFormat="false" ht="15" hidden="false" customHeight="false" outlineLevel="0" collapsed="false">
      <c r="A102" s="7" t="str">
        <f aca="false">Tickers!A102</f>
        <v>IGL</v>
      </c>
    </row>
    <row r="103" customFormat="false" ht="15" hidden="false" customHeight="false" outlineLevel="0" collapsed="false">
      <c r="A103" s="7" t="str">
        <f aca="false">Tickers!A103</f>
        <v>INOXWIND</v>
      </c>
    </row>
    <row r="104" customFormat="false" ht="15" hidden="false" customHeight="false" outlineLevel="0" collapsed="false">
      <c r="A104" s="7" t="str">
        <f aca="false">Tickers!A104</f>
        <v>IKS</v>
      </c>
    </row>
    <row r="105" customFormat="false" ht="15" hidden="false" customHeight="false" outlineLevel="0" collapsed="false">
      <c r="A105" s="7" t="str">
        <f aca="false">Tickers!A105</f>
        <v>JBMA</v>
      </c>
    </row>
    <row r="106" customFormat="false" ht="15" hidden="false" customHeight="false" outlineLevel="0" collapsed="false">
      <c r="A106" s="7" t="str">
        <f aca="false">Tickers!A106</f>
        <v>JMFINANCIL</v>
      </c>
    </row>
    <row r="107" customFormat="false" ht="15" hidden="false" customHeight="false" outlineLevel="0" collapsed="false">
      <c r="A107" s="7" t="str">
        <f aca="false">Tickers!A107</f>
        <v>JSWCEMENT</v>
      </c>
    </row>
    <row r="108" customFormat="false" ht="15" hidden="false" customHeight="false" outlineLevel="0" collapsed="false">
      <c r="A108" s="7" t="str">
        <f aca="false">Tickers!A108</f>
        <v>JYOTICNC</v>
      </c>
    </row>
    <row r="109" customFormat="false" ht="15" hidden="false" customHeight="false" outlineLevel="0" collapsed="false">
      <c r="A109" s="7" t="str">
        <f aca="false">Tickers!A109</f>
        <v>KARURVYSYA</v>
      </c>
    </row>
    <row r="110" customFormat="false" ht="15" hidden="false" customHeight="false" outlineLevel="0" collapsed="false">
      <c r="A110" s="7" t="str">
        <f aca="false">Tickers!A110</f>
        <v>KAYNES</v>
      </c>
    </row>
    <row r="111" customFormat="false" ht="15" hidden="false" customHeight="false" outlineLevel="0" collapsed="false">
      <c r="A111" s="7" t="str">
        <f aca="false">Tickers!A111</f>
        <v>KEC</v>
      </c>
    </row>
    <row r="112" customFormat="false" ht="15" hidden="false" customHeight="false" outlineLevel="0" collapsed="false">
      <c r="A112" s="7" t="str">
        <f aca="false">Tickers!A112</f>
        <v>KFINTECH</v>
      </c>
    </row>
    <row r="113" customFormat="false" ht="15" hidden="false" customHeight="false" outlineLevel="0" collapsed="false">
      <c r="A113" s="7" t="str">
        <f aca="false">Tickers!A113</f>
        <v>MANAPPURAM</v>
      </c>
    </row>
    <row r="114" customFormat="false" ht="15" hidden="false" customHeight="false" outlineLevel="0" collapsed="false">
      <c r="A114" s="7" t="str">
        <f aca="false">Tickers!A114</f>
        <v>MRPL</v>
      </c>
    </row>
    <row r="115" customFormat="false" ht="15" hidden="false" customHeight="false" outlineLevel="0" collapsed="false">
      <c r="A115" s="7" t="str">
        <f aca="false">Tickers!A115</f>
        <v>MEESHO</v>
      </c>
    </row>
    <row r="116" customFormat="false" ht="15" hidden="false" customHeight="false" outlineLevel="0" collapsed="false">
      <c r="A116" s="7" t="str">
        <f aca="false">Tickers!A116</f>
        <v>NATCOPHARM</v>
      </c>
    </row>
    <row r="117" customFormat="false" ht="15" hidden="false" customHeight="false" outlineLevel="0" collapsed="false">
      <c r="A117" s="7" t="str">
        <f aca="false">Tickers!A117</f>
        <v>NBCC</v>
      </c>
    </row>
    <row r="118" customFormat="false" ht="15" hidden="false" customHeight="false" outlineLevel="0" collapsed="false">
      <c r="A118" s="7" t="str">
        <f aca="false">Tickers!A118</f>
        <v>NH</v>
      </c>
    </row>
    <row r="119" customFormat="false" ht="15" hidden="false" customHeight="false" outlineLevel="0" collapsed="false">
      <c r="A119" s="7" t="str">
        <f aca="false">Tickers!A119</f>
        <v>NAVINFLUOR</v>
      </c>
    </row>
    <row r="120" customFormat="false" ht="15" hidden="false" customHeight="false" outlineLevel="0" collapsed="false">
      <c r="A120" s="7" t="str">
        <f aca="false">Tickers!A120</f>
        <v>NETWEB</v>
      </c>
    </row>
    <row r="121" customFormat="false" ht="15" hidden="false" customHeight="false" outlineLevel="0" collapsed="false">
      <c r="A121" s="7" t="str">
        <f aca="false">Tickers!A121</f>
        <v>NEULANDLAB</v>
      </c>
    </row>
    <row r="122" customFormat="false" ht="15" hidden="false" customHeight="false" outlineLevel="0" collapsed="false">
      <c r="A122" s="7" t="str">
        <f aca="false">Tickers!A122</f>
        <v>NUVAMA</v>
      </c>
    </row>
    <row r="123" customFormat="false" ht="15" hidden="false" customHeight="false" outlineLevel="0" collapsed="false">
      <c r="A123" s="7" t="str">
        <f aca="false">Tickers!A123</f>
        <v>OLAELEC</v>
      </c>
    </row>
    <row r="124" customFormat="false" ht="15" hidden="false" customHeight="false" outlineLevel="0" collapsed="false">
      <c r="A124" s="7" t="str">
        <f aca="false">Tickers!A124</f>
        <v>PGEL</v>
      </c>
    </row>
    <row r="125" customFormat="false" ht="15" hidden="false" customHeight="false" outlineLevel="0" collapsed="false">
      <c r="A125" s="7" t="str">
        <f aca="false">Tickers!A125</f>
        <v>PNBHOUSING</v>
      </c>
    </row>
    <row r="126" customFormat="false" ht="15" hidden="false" customHeight="false" outlineLevel="0" collapsed="false">
      <c r="A126" s="7" t="str">
        <f aca="false">Tickers!A126</f>
        <v>PWL</v>
      </c>
    </row>
    <row r="127" customFormat="false" ht="15" hidden="false" customHeight="false" outlineLevel="0" collapsed="false">
      <c r="A127" s="7" t="str">
        <f aca="false">Tickers!A127</f>
        <v>PINELABS</v>
      </c>
    </row>
    <row r="128" customFormat="false" ht="15" hidden="false" customHeight="false" outlineLevel="0" collapsed="false">
      <c r="A128" s="7" t="str">
        <f aca="false">Tickers!A128</f>
        <v>PIRAMALFIN</v>
      </c>
    </row>
    <row r="129" customFormat="false" ht="15" hidden="false" customHeight="false" outlineLevel="0" collapsed="false">
      <c r="A129" s="7" t="str">
        <f aca="false">Tickers!A129</f>
        <v>PPLPHARMA</v>
      </c>
    </row>
    <row r="130" customFormat="false" ht="15" hidden="false" customHeight="false" outlineLevel="0" collapsed="false">
      <c r="A130" s="7" t="str">
        <f aca="false">Tickers!A130</f>
        <v>POONAWALLA</v>
      </c>
    </row>
    <row r="131" customFormat="false" ht="15" hidden="false" customHeight="false" outlineLevel="0" collapsed="false">
      <c r="A131" s="7" t="str">
        <f aca="false">Tickers!A131</f>
        <v>RBLBANK</v>
      </c>
    </row>
    <row r="132" customFormat="false" ht="15" hidden="false" customHeight="false" outlineLevel="0" collapsed="false">
      <c r="A132" s="7" t="str">
        <f aca="false">Tickers!A132</f>
        <v>REDINGTON</v>
      </c>
    </row>
    <row r="133" customFormat="false" ht="15" hidden="false" customHeight="false" outlineLevel="0" collapsed="false">
      <c r="A133" s="7" t="str">
        <f aca="false">Tickers!A133</f>
        <v>RPOWER</v>
      </c>
    </row>
    <row r="134" customFormat="false" ht="15" hidden="false" customHeight="false" outlineLevel="0" collapsed="false">
      <c r="A134" s="7" t="str">
        <f aca="false">Tickers!A134</f>
        <v>SAGILITY</v>
      </c>
    </row>
    <row r="135" customFormat="false" ht="15" hidden="false" customHeight="false" outlineLevel="0" collapsed="false">
      <c r="A135" s="7" t="str">
        <f aca="false">Tickers!A135</f>
        <v>SAILIFE</v>
      </c>
    </row>
    <row r="136" customFormat="false" ht="15" hidden="false" customHeight="false" outlineLevel="0" collapsed="false">
      <c r="A136" s="7" t="str">
        <f aca="false">Tickers!A136</f>
        <v>SARDAEN</v>
      </c>
    </row>
    <row r="137" customFormat="false" ht="15" hidden="false" customHeight="false" outlineLevel="0" collapsed="false">
      <c r="A137" s="7" t="str">
        <f aca="false">Tickers!A137</f>
        <v>SIGNATURE</v>
      </c>
    </row>
    <row r="138" customFormat="false" ht="15" hidden="false" customHeight="false" outlineLevel="0" collapsed="false">
      <c r="A138" s="7" t="str">
        <f aca="false">Tickers!A138</f>
        <v>SONACOMS</v>
      </c>
    </row>
    <row r="139" customFormat="false" ht="15" hidden="false" customHeight="false" outlineLevel="0" collapsed="false">
      <c r="A139" s="7" t="str">
        <f aca="false">Tickers!A139</f>
        <v>STARHEALTH</v>
      </c>
    </row>
    <row r="140" customFormat="false" ht="15" hidden="false" customHeight="false" outlineLevel="0" collapsed="false">
      <c r="A140" s="7" t="str">
        <f aca="false">Tickers!A140</f>
        <v>SWANCORP</v>
      </c>
    </row>
    <row r="141" customFormat="false" ht="15" hidden="false" customHeight="false" outlineLevel="0" collapsed="false">
      <c r="A141" s="7" t="str">
        <f aca="false">Tickers!A141</f>
        <v>SYNGENE</v>
      </c>
    </row>
    <row r="142" customFormat="false" ht="15" hidden="false" customHeight="false" outlineLevel="0" collapsed="false">
      <c r="A142" s="7" t="str">
        <f aca="false">Tickers!A142</f>
        <v>TATACHEM</v>
      </c>
    </row>
    <row r="143" customFormat="false" ht="15" hidden="false" customHeight="false" outlineLevel="0" collapsed="false">
      <c r="A143" s="7" t="str">
        <f aca="false">Tickers!A143</f>
        <v>TATATECH</v>
      </c>
    </row>
    <row r="144" customFormat="false" ht="15" hidden="false" customHeight="false" outlineLevel="0" collapsed="false">
      <c r="A144" s="7" t="str">
        <f aca="false">Tickers!A144</f>
        <v>TENNIND</v>
      </c>
    </row>
    <row r="145" customFormat="false" ht="15" hidden="false" customHeight="false" outlineLevel="0" collapsed="false">
      <c r="A145" s="7" t="str">
        <f aca="false">Tickers!A145</f>
        <v>RAMCOCEM</v>
      </c>
    </row>
    <row r="146" customFormat="false" ht="15" hidden="false" customHeight="false" outlineLevel="0" collapsed="false">
      <c r="A146" s="7" t="str">
        <f aca="false">Tickers!A146</f>
        <v>TRITURBINE</v>
      </c>
    </row>
    <row r="147" customFormat="false" ht="15" hidden="false" customHeight="false" outlineLevel="0" collapsed="false">
      <c r="A147" s="7" t="str">
        <f aca="false">Tickers!A147</f>
        <v>URBANCO</v>
      </c>
    </row>
    <row r="148" customFormat="false" ht="15" hidden="false" customHeight="false" outlineLevel="0" collapsed="false">
      <c r="A148" s="7" t="str">
        <f aca="false">Tickers!A148</f>
        <v>WELCORP</v>
      </c>
    </row>
    <row r="149" customFormat="false" ht="15" hidden="false" customHeight="false" outlineLevel="0" collapsed="false">
      <c r="A149" s="7" t="str">
        <f aca="false">Tickers!A149</f>
        <v>WHIRLPOOL</v>
      </c>
    </row>
    <row r="150" customFormat="false" ht="15" hidden="false" customHeight="false" outlineLevel="0" collapsed="false">
      <c r="A150" s="7" t="str">
        <f aca="false">Tickers!A150</f>
        <v>WOCKPHARMA</v>
      </c>
    </row>
    <row r="151" customFormat="false" ht="15" hidden="false" customHeight="false" outlineLevel="0" collapsed="false">
      <c r="A151" s="7" t="str">
        <f aca="false">Tickers!A151</f>
        <v>ZENSARTECH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  <col collapsed="false" customWidth="true" hidden="false" outlineLevel="0" max="14" min="14" style="0" width="22"/>
  </cols>
  <sheetData>
    <row r="1" customFormat="false" ht="15" hidden="false" customHeight="false" outlineLevel="0" collapsed="false">
      <c r="A1" s="6" t="s">
        <v>35</v>
      </c>
      <c r="B1" s="6" t="s">
        <v>406</v>
      </c>
      <c r="C1" s="6" t="s">
        <v>407</v>
      </c>
      <c r="D1" s="6" t="s">
        <v>408</v>
      </c>
      <c r="E1" s="6" t="s">
        <v>409</v>
      </c>
      <c r="F1" s="6" t="s">
        <v>410</v>
      </c>
      <c r="G1" s="6" t="s">
        <v>411</v>
      </c>
      <c r="H1" s="6" t="s">
        <v>412</v>
      </c>
      <c r="I1" s="6" t="s">
        <v>413</v>
      </c>
      <c r="J1" s="6" t="s">
        <v>414</v>
      </c>
      <c r="K1" s="6" t="s">
        <v>415</v>
      </c>
      <c r="L1" s="6" t="s">
        <v>416</v>
      </c>
      <c r="M1" s="6" t="s">
        <v>417</v>
      </c>
      <c r="N1" s="6" t="s">
        <v>405</v>
      </c>
    </row>
    <row r="2" customFormat="false" ht="15" hidden="false" customHeight="false" outlineLevel="0" collapsed="false">
      <c r="A2" s="7" t="str">
        <f aca="false">Tickers!A2</f>
        <v>APLAPOLLO</v>
      </c>
    </row>
    <row r="3" customFormat="false" ht="15" hidden="false" customHeight="false" outlineLevel="0" collapsed="false">
      <c r="A3" s="7" t="str">
        <f aca="false">Tickers!A3</f>
        <v>AUBANK</v>
      </c>
    </row>
    <row r="4" customFormat="false" ht="15" hidden="false" customHeight="false" outlineLevel="0" collapsed="false">
      <c r="A4" s="7" t="str">
        <f aca="false">Tickers!A4</f>
        <v>ALKEM</v>
      </c>
    </row>
    <row r="5" customFormat="false" ht="15" hidden="false" customHeight="false" outlineLevel="0" collapsed="false">
      <c r="A5" s="7" t="str">
        <f aca="false">Tickers!A5</f>
        <v>ASHOKLEY</v>
      </c>
    </row>
    <row r="6" customFormat="false" ht="15" hidden="false" customHeight="false" outlineLevel="0" collapsed="false">
      <c r="A6" s="7" t="str">
        <f aca="false">Tickers!A6</f>
        <v>AUROPHARMA</v>
      </c>
    </row>
    <row r="7" customFormat="false" ht="15" hidden="false" customHeight="false" outlineLevel="0" collapsed="false">
      <c r="A7" s="7" t="str">
        <f aca="false">Tickers!A7</f>
        <v>BSE</v>
      </c>
    </row>
    <row r="8" customFormat="false" ht="15" hidden="false" customHeight="false" outlineLevel="0" collapsed="false">
      <c r="A8" s="7" t="str">
        <f aca="false">Tickers!A8</f>
        <v>BHARATFORG</v>
      </c>
    </row>
    <row r="9" customFormat="false" ht="15" hidden="false" customHeight="false" outlineLevel="0" collapsed="false">
      <c r="A9" s="7" t="str">
        <f aca="false">Tickers!A9</f>
        <v>BHEL</v>
      </c>
    </row>
    <row r="10" customFormat="false" ht="15" hidden="false" customHeight="false" outlineLevel="0" collapsed="false">
      <c r="A10" s="7" t="str">
        <f aca="false">Tickers!A10</f>
        <v>COFORGE</v>
      </c>
    </row>
    <row r="11" customFormat="false" ht="15" hidden="false" customHeight="false" outlineLevel="0" collapsed="false">
      <c r="A11" s="7" t="str">
        <f aca="false">Tickers!A11</f>
        <v>COLPAL</v>
      </c>
    </row>
    <row r="12" customFormat="false" ht="15" hidden="false" customHeight="false" outlineLevel="0" collapsed="false">
      <c r="A12" s="7" t="str">
        <f aca="false">Tickers!A12</f>
        <v>DABUR</v>
      </c>
    </row>
    <row r="13" customFormat="false" ht="15" hidden="false" customHeight="false" outlineLevel="0" collapsed="false">
      <c r="A13" s="7" t="str">
        <f aca="false">Tickers!A13</f>
        <v>DIXON</v>
      </c>
    </row>
    <row r="14" customFormat="false" ht="15" hidden="false" customHeight="false" outlineLevel="0" collapsed="false">
      <c r="A14" s="7" t="str">
        <f aca="false">Tickers!A14</f>
        <v>NYKAA</v>
      </c>
    </row>
    <row r="15" customFormat="false" ht="15" hidden="false" customHeight="false" outlineLevel="0" collapsed="false">
      <c r="A15" s="7" t="str">
        <f aca="false">Tickers!A15</f>
        <v>FEDERALBNK</v>
      </c>
    </row>
    <row r="16" customFormat="false" ht="15" hidden="false" customHeight="false" outlineLevel="0" collapsed="false">
      <c r="A16" s="7" t="str">
        <f aca="false">Tickers!A16</f>
        <v>FORTIS</v>
      </c>
    </row>
    <row r="17" customFormat="false" ht="15" hidden="false" customHeight="false" outlineLevel="0" collapsed="false">
      <c r="A17" s="7" t="str">
        <f aca="false">Tickers!A17</f>
        <v>GMRAIRPORT</v>
      </c>
    </row>
    <row r="18" customFormat="false" ht="15" hidden="false" customHeight="false" outlineLevel="0" collapsed="false">
      <c r="A18" s="7" t="str">
        <f aca="false">Tickers!A18</f>
        <v>GODREJPROP</v>
      </c>
    </row>
    <row r="19" customFormat="false" ht="15" hidden="false" customHeight="false" outlineLevel="0" collapsed="false">
      <c r="A19" s="7" t="str">
        <f aca="false">Tickers!A19</f>
        <v>HAVELLS</v>
      </c>
    </row>
    <row r="20" customFormat="false" ht="15" hidden="false" customHeight="false" outlineLevel="0" collapsed="false">
      <c r="A20" s="7" t="str">
        <f aca="false">Tickers!A20</f>
        <v>HEROMOTOCO</v>
      </c>
    </row>
    <row r="21" customFormat="false" ht="15" hidden="false" customHeight="false" outlineLevel="0" collapsed="false">
      <c r="A21" s="7" t="str">
        <f aca="false">Tickers!A21</f>
        <v>HINDPETRO</v>
      </c>
    </row>
    <row r="22" customFormat="false" ht="15" hidden="false" customHeight="false" outlineLevel="0" collapsed="false">
      <c r="A22" s="7" t="str">
        <f aca="false">Tickers!A22</f>
        <v>ICICIGI</v>
      </c>
    </row>
    <row r="23" customFormat="false" ht="15" hidden="false" customHeight="false" outlineLevel="0" collapsed="false">
      <c r="A23" s="7" t="str">
        <f aca="false">Tickers!A23</f>
        <v>IDFCFIRSTB</v>
      </c>
    </row>
    <row r="24" customFormat="false" ht="15" hidden="false" customHeight="false" outlineLevel="0" collapsed="false">
      <c r="A24" s="7" t="str">
        <f aca="false">Tickers!A24</f>
        <v>INDUSTOWER</v>
      </c>
    </row>
    <row r="25" customFormat="false" ht="15" hidden="false" customHeight="false" outlineLevel="0" collapsed="false">
      <c r="A25" s="7" t="str">
        <f aca="false">Tickers!A25</f>
        <v>INDUSINDBK</v>
      </c>
    </row>
    <row r="26" customFormat="false" ht="15" hidden="false" customHeight="false" outlineLevel="0" collapsed="false">
      <c r="A26" s="7" t="str">
        <f aca="false">Tickers!A26</f>
        <v>NAUKRI</v>
      </c>
    </row>
    <row r="27" customFormat="false" ht="15" hidden="false" customHeight="false" outlineLevel="0" collapsed="false">
      <c r="A27" s="7" t="str">
        <f aca="false">Tickers!A27</f>
        <v>LAURUSLABS</v>
      </c>
    </row>
    <row r="28" customFormat="false" ht="15" hidden="false" customHeight="false" outlineLevel="0" collapsed="false">
      <c r="A28" s="7" t="str">
        <f aca="false">Tickers!A28</f>
        <v>LUPIN</v>
      </c>
    </row>
    <row r="29" customFormat="false" ht="15" hidden="false" customHeight="false" outlineLevel="0" collapsed="false">
      <c r="A29" s="7" t="str">
        <f aca="false">Tickers!A29</f>
        <v>MANKIND</v>
      </c>
    </row>
    <row r="30" customFormat="false" ht="15" hidden="false" customHeight="false" outlineLevel="0" collapsed="false">
      <c r="A30" s="7" t="str">
        <f aca="false">Tickers!A30</f>
        <v>MARICO</v>
      </c>
    </row>
    <row r="31" customFormat="false" ht="15" hidden="false" customHeight="false" outlineLevel="0" collapsed="false">
      <c r="A31" s="7" t="str">
        <f aca="false">Tickers!A31</f>
        <v>MFSL</v>
      </c>
    </row>
    <row r="32" customFormat="false" ht="15" hidden="false" customHeight="false" outlineLevel="0" collapsed="false">
      <c r="A32" s="7" t="str">
        <f aca="false">Tickers!A32</f>
        <v>MPHASIS</v>
      </c>
    </row>
    <row r="33" customFormat="false" ht="15" hidden="false" customHeight="false" outlineLevel="0" collapsed="false">
      <c r="A33" s="7" t="str">
        <f aca="false">Tickers!A33</f>
        <v>MCX</v>
      </c>
    </row>
    <row r="34" customFormat="false" ht="15" hidden="false" customHeight="false" outlineLevel="0" collapsed="false">
      <c r="A34" s="7" t="str">
        <f aca="false">Tickers!A34</f>
        <v>NHPC</v>
      </c>
    </row>
    <row r="35" customFormat="false" ht="15" hidden="false" customHeight="false" outlineLevel="0" collapsed="false">
      <c r="A35" s="7" t="str">
        <f aca="false">Tickers!A35</f>
        <v>NMDC</v>
      </c>
    </row>
    <row r="36" customFormat="false" ht="15" hidden="false" customHeight="false" outlineLevel="0" collapsed="false">
      <c r="A36" s="7" t="str">
        <f aca="false">Tickers!A36</f>
        <v>OIL</v>
      </c>
    </row>
    <row r="37" customFormat="false" ht="15" hidden="false" customHeight="false" outlineLevel="0" collapsed="false">
      <c r="A37" s="7" t="str">
        <f aca="false">Tickers!A37</f>
        <v>PAYTM</v>
      </c>
    </row>
    <row r="38" customFormat="false" ht="15" hidden="false" customHeight="false" outlineLevel="0" collapsed="false">
      <c r="A38" s="7" t="str">
        <f aca="false">Tickers!A38</f>
        <v>POLICYBZR</v>
      </c>
    </row>
    <row r="39" customFormat="false" ht="15" hidden="false" customHeight="false" outlineLevel="0" collapsed="false">
      <c r="A39" s="7" t="str">
        <f aca="false">Tickers!A39</f>
        <v>PERSISTENT</v>
      </c>
    </row>
    <row r="40" customFormat="false" ht="15" hidden="false" customHeight="false" outlineLevel="0" collapsed="false">
      <c r="A40" s="7" t="str">
        <f aca="false">Tickers!A40</f>
        <v>PHOENIXLTD</v>
      </c>
    </row>
    <row r="41" customFormat="false" ht="15" hidden="false" customHeight="false" outlineLevel="0" collapsed="false">
      <c r="A41" s="7" t="str">
        <f aca="false">Tickers!A41</f>
        <v>POLYCAB</v>
      </c>
    </row>
    <row r="42" customFormat="false" ht="15" hidden="false" customHeight="false" outlineLevel="0" collapsed="false">
      <c r="A42" s="7" t="str">
        <f aca="false">Tickers!A42</f>
        <v>PRESTIGE</v>
      </c>
    </row>
    <row r="43" customFormat="false" ht="15" hidden="false" customHeight="false" outlineLevel="0" collapsed="false">
      <c r="A43" s="7" t="str">
        <f aca="false">Tickers!A43</f>
        <v>SBICARD</v>
      </c>
    </row>
    <row r="44" customFormat="false" ht="15" hidden="false" customHeight="false" outlineLevel="0" collapsed="false">
      <c r="A44" s="7" t="str">
        <f aca="false">Tickers!A44</f>
        <v>SRF</v>
      </c>
    </row>
    <row r="45" customFormat="false" ht="15" hidden="false" customHeight="false" outlineLevel="0" collapsed="false">
      <c r="A45" s="7" t="str">
        <f aca="false">Tickers!A45</f>
        <v>SUPREMEIND</v>
      </c>
    </row>
    <row r="46" customFormat="false" ht="15" hidden="false" customHeight="false" outlineLevel="0" collapsed="false">
      <c r="A46" s="7" t="str">
        <f aca="false">Tickers!A46</f>
        <v>SUZLON</v>
      </c>
    </row>
    <row r="47" customFormat="false" ht="15" hidden="false" customHeight="false" outlineLevel="0" collapsed="false">
      <c r="A47" s="7" t="str">
        <f aca="false">Tickers!A47</f>
        <v>SWIGGY</v>
      </c>
    </row>
    <row r="48" customFormat="false" ht="15" hidden="false" customHeight="false" outlineLevel="0" collapsed="false">
      <c r="A48" s="7" t="str">
        <f aca="false">Tickers!A48</f>
        <v>TIINDIA</v>
      </c>
    </row>
    <row r="49" customFormat="false" ht="15" hidden="false" customHeight="false" outlineLevel="0" collapsed="false">
      <c r="A49" s="7" t="str">
        <f aca="false">Tickers!A49</f>
        <v>UPL</v>
      </c>
    </row>
    <row r="50" customFormat="false" ht="15" hidden="false" customHeight="false" outlineLevel="0" collapsed="false">
      <c r="A50" s="7" t="str">
        <f aca="false">Tickers!A50</f>
        <v>WAAREEENER</v>
      </c>
    </row>
    <row r="51" customFormat="false" ht="15" hidden="false" customHeight="false" outlineLevel="0" collapsed="false">
      <c r="A51" s="7" t="str">
        <f aca="false">Tickers!A51</f>
        <v>YESBANK</v>
      </c>
    </row>
    <row r="52" customFormat="false" ht="15" hidden="false" customHeight="false" outlineLevel="0" collapsed="false">
      <c r="A52" s="7" t="str">
        <f aca="false">Tickers!A52</f>
        <v>AARTIIND</v>
      </c>
    </row>
    <row r="53" customFormat="false" ht="15" hidden="false" customHeight="false" outlineLevel="0" collapsed="false">
      <c r="A53" s="7" t="str">
        <f aca="false">Tickers!A53</f>
        <v>ABREL</v>
      </c>
    </row>
    <row r="54" customFormat="false" ht="15" hidden="false" customHeight="false" outlineLevel="0" collapsed="false">
      <c r="A54" s="7" t="str">
        <f aca="false">Tickers!A54</f>
        <v>AEGISLOG</v>
      </c>
    </row>
    <row r="55" customFormat="false" ht="15" hidden="false" customHeight="false" outlineLevel="0" collapsed="false">
      <c r="A55" s="7" t="str">
        <f aca="false">Tickers!A55</f>
        <v>AFCONS</v>
      </c>
    </row>
    <row r="56" customFormat="false" ht="15" hidden="false" customHeight="false" outlineLevel="0" collapsed="false">
      <c r="A56" s="7" t="str">
        <f aca="false">Tickers!A56</f>
        <v>AFFLE</v>
      </c>
    </row>
    <row r="57" customFormat="false" ht="15" hidden="false" customHeight="false" outlineLevel="0" collapsed="false">
      <c r="A57" s="7" t="str">
        <f aca="false">Tickers!A57</f>
        <v>ARE&amp;M</v>
      </c>
    </row>
    <row r="58" customFormat="false" ht="15" hidden="false" customHeight="false" outlineLevel="0" collapsed="false">
      <c r="A58" s="7" t="str">
        <f aca="false">Tickers!A58</f>
        <v>AMBER</v>
      </c>
    </row>
    <row r="59" customFormat="false" ht="15" hidden="false" customHeight="false" outlineLevel="0" collapsed="false">
      <c r="A59" s="7" t="str">
        <f aca="false">Tickers!A59</f>
        <v>ANANDRATHI</v>
      </c>
    </row>
    <row r="60" customFormat="false" ht="15" hidden="false" customHeight="false" outlineLevel="0" collapsed="false">
      <c r="A60" s="7" t="str">
        <f aca="false">Tickers!A60</f>
        <v>ANANTRAJ</v>
      </c>
    </row>
    <row r="61" customFormat="false" ht="15" hidden="false" customHeight="false" outlineLevel="0" collapsed="false">
      <c r="A61" s="7" t="str">
        <f aca="false">Tickers!A61</f>
        <v>ANGELONE</v>
      </c>
    </row>
    <row r="62" customFormat="false" ht="15" hidden="false" customHeight="false" outlineLevel="0" collapsed="false">
      <c r="A62" s="7" t="str">
        <f aca="false">Tickers!A62</f>
        <v>APTUS</v>
      </c>
    </row>
    <row r="63" customFormat="false" ht="15" hidden="false" customHeight="false" outlineLevel="0" collapsed="false">
      <c r="A63" s="7" t="str">
        <f aca="false">Tickers!A63</f>
        <v>ASTERDM</v>
      </c>
    </row>
    <row r="64" customFormat="false" ht="15" hidden="false" customHeight="false" outlineLevel="0" collapsed="false">
      <c r="A64" s="7" t="str">
        <f aca="false">Tickers!A64</f>
        <v>ATHERENERG</v>
      </c>
    </row>
    <row r="65" customFormat="false" ht="15" hidden="false" customHeight="false" outlineLevel="0" collapsed="false">
      <c r="A65" s="7" t="str">
        <f aca="false">Tickers!A65</f>
        <v>BEML</v>
      </c>
    </row>
    <row r="66" customFormat="false" ht="15" hidden="false" customHeight="false" outlineLevel="0" collapsed="false">
      <c r="A66" s="7" t="str">
        <f aca="false">Tickers!A66</f>
        <v>BLS</v>
      </c>
    </row>
    <row r="67" customFormat="false" ht="15" hidden="false" customHeight="false" outlineLevel="0" collapsed="false">
      <c r="A67" s="7" t="str">
        <f aca="false">Tickers!A67</f>
        <v>BANDHANBNK</v>
      </c>
    </row>
    <row r="68" customFormat="false" ht="15" hidden="false" customHeight="false" outlineLevel="0" collapsed="false">
      <c r="A68" s="7" t="str">
        <f aca="false">Tickers!A68</f>
        <v>FIRSTCRY</v>
      </c>
    </row>
    <row r="69" customFormat="false" ht="15" hidden="false" customHeight="false" outlineLevel="0" collapsed="false">
      <c r="A69" s="7" t="str">
        <f aca="false">Tickers!A69</f>
        <v>BRIGADE</v>
      </c>
    </row>
    <row r="70" customFormat="false" ht="15" hidden="false" customHeight="false" outlineLevel="0" collapsed="false">
      <c r="A70" s="7" t="str">
        <f aca="false">Tickers!A70</f>
        <v>CESC</v>
      </c>
    </row>
    <row r="71" customFormat="false" ht="15" hidden="false" customHeight="false" outlineLevel="0" collapsed="false">
      <c r="A71" s="7" t="str">
        <f aca="false">Tickers!A71</f>
        <v>CGCL</v>
      </c>
    </row>
    <row r="72" customFormat="false" ht="15" hidden="false" customHeight="false" outlineLevel="0" collapsed="false">
      <c r="A72" s="7" t="str">
        <f aca="false">Tickers!A72</f>
        <v>CASTROLIND</v>
      </c>
    </row>
    <row r="73" customFormat="false" ht="15" hidden="false" customHeight="false" outlineLevel="0" collapsed="false">
      <c r="A73" s="7" t="str">
        <f aca="false">Tickers!A73</f>
        <v>CDSL</v>
      </c>
    </row>
    <row r="74" customFormat="false" ht="15" hidden="false" customHeight="false" outlineLevel="0" collapsed="false">
      <c r="A74" s="7" t="str">
        <f aca="false">Tickers!A74</f>
        <v>CHAMBLFERT</v>
      </c>
    </row>
    <row r="75" customFormat="false" ht="15" hidden="false" customHeight="false" outlineLevel="0" collapsed="false">
      <c r="A75" s="7" t="str">
        <f aca="false">Tickers!A75</f>
        <v>CHOLAHLDNG</v>
      </c>
    </row>
    <row r="76" customFormat="false" ht="15" hidden="false" customHeight="false" outlineLevel="0" collapsed="false">
      <c r="A76" s="7" t="str">
        <f aca="false">Tickers!A76</f>
        <v>CUB</v>
      </c>
    </row>
    <row r="77" customFormat="false" ht="15" hidden="false" customHeight="false" outlineLevel="0" collapsed="false">
      <c r="A77" s="7" t="str">
        <f aca="false">Tickers!A77</f>
        <v>COHANCE</v>
      </c>
    </row>
    <row r="78" customFormat="false" ht="15" hidden="false" customHeight="false" outlineLevel="0" collapsed="false">
      <c r="A78" s="7" t="str">
        <f aca="false">Tickers!A78</f>
        <v>CAMS</v>
      </c>
    </row>
    <row r="79" customFormat="false" ht="15" hidden="false" customHeight="false" outlineLevel="0" collapsed="false">
      <c r="A79" s="7" t="str">
        <f aca="false">Tickers!A79</f>
        <v>CREDITACC</v>
      </c>
    </row>
    <row r="80" customFormat="false" ht="15" hidden="false" customHeight="false" outlineLevel="0" collapsed="false">
      <c r="A80" s="7" t="str">
        <f aca="false">Tickers!A80</f>
        <v>CROMPTON</v>
      </c>
    </row>
    <row r="81" customFormat="false" ht="15" hidden="false" customHeight="false" outlineLevel="0" collapsed="false">
      <c r="A81" s="7" t="str">
        <f aca="false">Tickers!A81</f>
        <v>DATAPATTNS</v>
      </c>
    </row>
    <row r="82" customFormat="false" ht="15" hidden="false" customHeight="false" outlineLevel="0" collapsed="false">
      <c r="A82" s="7" t="str">
        <f aca="false">Tickers!A82</f>
        <v>DEEPAKFERT</v>
      </c>
    </row>
    <row r="83" customFormat="false" ht="15" hidden="false" customHeight="false" outlineLevel="0" collapsed="false">
      <c r="A83" s="7" t="str">
        <f aca="false">Tickers!A83</f>
        <v>DELHIVERY</v>
      </c>
    </row>
    <row r="84" customFormat="false" ht="15" hidden="false" customHeight="false" outlineLevel="0" collapsed="false">
      <c r="A84" s="7" t="str">
        <f aca="false">Tickers!A84</f>
        <v>DEVYANI</v>
      </c>
    </row>
    <row r="85" customFormat="false" ht="15" hidden="false" customHeight="false" outlineLevel="0" collapsed="false">
      <c r="A85" s="7" t="str">
        <f aca="false">Tickers!A85</f>
        <v>LALPATHLAB</v>
      </c>
    </row>
    <row r="86" customFormat="false" ht="15" hidden="false" customHeight="false" outlineLevel="0" collapsed="false">
      <c r="A86" s="7" t="str">
        <f aca="false">Tickers!A86</f>
        <v>FSL</v>
      </c>
    </row>
    <row r="87" customFormat="false" ht="15" hidden="false" customHeight="false" outlineLevel="0" collapsed="false">
      <c r="A87" s="7" t="str">
        <f aca="false">Tickers!A87</f>
        <v>FIVESTAR</v>
      </c>
    </row>
    <row r="88" customFormat="false" ht="15" hidden="false" customHeight="false" outlineLevel="0" collapsed="false">
      <c r="A88" s="7" t="str">
        <f aca="false">Tickers!A88</f>
        <v>FORCEMOT</v>
      </c>
    </row>
    <row r="89" customFormat="false" ht="15" hidden="false" customHeight="false" outlineLevel="0" collapsed="false">
      <c r="A89" s="7" t="str">
        <f aca="false">Tickers!A89</f>
        <v>GRSE</v>
      </c>
    </row>
    <row r="90" customFormat="false" ht="15" hidden="false" customHeight="false" outlineLevel="0" collapsed="false">
      <c r="A90" s="7" t="str">
        <f aca="false">Tickers!A90</f>
        <v>GLAND</v>
      </c>
    </row>
    <row r="91" customFormat="false" ht="15" hidden="false" customHeight="false" outlineLevel="0" collapsed="false">
      <c r="A91" s="7" t="str">
        <f aca="false">Tickers!A91</f>
        <v>GPIL</v>
      </c>
    </row>
    <row r="92" customFormat="false" ht="15" hidden="false" customHeight="false" outlineLevel="0" collapsed="false">
      <c r="A92" s="7" t="str">
        <f aca="false">Tickers!A92</f>
        <v>GESHIP</v>
      </c>
    </row>
    <row r="93" customFormat="false" ht="15" hidden="false" customHeight="false" outlineLevel="0" collapsed="false">
      <c r="A93" s="7" t="str">
        <f aca="false">Tickers!A93</f>
        <v>GMDCLTD</v>
      </c>
    </row>
    <row r="94" customFormat="false" ht="15" hidden="false" customHeight="false" outlineLevel="0" collapsed="false">
      <c r="A94" s="7" t="str">
        <f aca="false">Tickers!A94</f>
        <v>HBLENGINE</v>
      </c>
    </row>
    <row r="95" customFormat="false" ht="15" hidden="false" customHeight="false" outlineLevel="0" collapsed="false">
      <c r="A95" s="7" t="str">
        <f aca="false">Tickers!A95</f>
        <v>HSCL</v>
      </c>
    </row>
    <row r="96" customFormat="false" ht="15" hidden="false" customHeight="false" outlineLevel="0" collapsed="false">
      <c r="A96" s="7" t="str">
        <f aca="false">Tickers!A96</f>
        <v>HINDCOPPER</v>
      </c>
    </row>
    <row r="97" customFormat="false" ht="15" hidden="false" customHeight="false" outlineLevel="0" collapsed="false">
      <c r="A97" s="7" t="str">
        <f aca="false">Tickers!A97</f>
        <v>IDBI</v>
      </c>
    </row>
    <row r="98" customFormat="false" ht="15" hidden="false" customHeight="false" outlineLevel="0" collapsed="false">
      <c r="A98" s="7" t="str">
        <f aca="false">Tickers!A98</f>
        <v>IFCI</v>
      </c>
    </row>
    <row r="99" customFormat="false" ht="15" hidden="false" customHeight="false" outlineLevel="0" collapsed="false">
      <c r="A99" s="7" t="str">
        <f aca="false">Tickers!A99</f>
        <v>IIFL</v>
      </c>
    </row>
    <row r="100" customFormat="false" ht="15" hidden="false" customHeight="false" outlineLevel="0" collapsed="false">
      <c r="A100" s="7" t="str">
        <f aca="false">Tickers!A100</f>
        <v>IRCON</v>
      </c>
    </row>
    <row r="101" customFormat="false" ht="15" hidden="false" customHeight="false" outlineLevel="0" collapsed="false">
      <c r="A101" s="7" t="str">
        <f aca="false">Tickers!A101</f>
        <v>ITI</v>
      </c>
    </row>
    <row r="102" customFormat="false" ht="15" hidden="false" customHeight="false" outlineLevel="0" collapsed="false">
      <c r="A102" s="7" t="str">
        <f aca="false">Tickers!A102</f>
        <v>IGL</v>
      </c>
    </row>
    <row r="103" customFormat="false" ht="15" hidden="false" customHeight="false" outlineLevel="0" collapsed="false">
      <c r="A103" s="7" t="str">
        <f aca="false">Tickers!A103</f>
        <v>INOXWIND</v>
      </c>
    </row>
    <row r="104" customFormat="false" ht="15" hidden="false" customHeight="false" outlineLevel="0" collapsed="false">
      <c r="A104" s="7" t="str">
        <f aca="false">Tickers!A104</f>
        <v>IKS</v>
      </c>
    </row>
    <row r="105" customFormat="false" ht="15" hidden="false" customHeight="false" outlineLevel="0" collapsed="false">
      <c r="A105" s="7" t="str">
        <f aca="false">Tickers!A105</f>
        <v>JBMA</v>
      </c>
    </row>
    <row r="106" customFormat="false" ht="15" hidden="false" customHeight="false" outlineLevel="0" collapsed="false">
      <c r="A106" s="7" t="str">
        <f aca="false">Tickers!A106</f>
        <v>JMFINANCIL</v>
      </c>
    </row>
    <row r="107" customFormat="false" ht="15" hidden="false" customHeight="false" outlineLevel="0" collapsed="false">
      <c r="A107" s="7" t="str">
        <f aca="false">Tickers!A107</f>
        <v>JSWCEMENT</v>
      </c>
    </row>
    <row r="108" customFormat="false" ht="15" hidden="false" customHeight="false" outlineLevel="0" collapsed="false">
      <c r="A108" s="7" t="str">
        <f aca="false">Tickers!A108</f>
        <v>JYOTICNC</v>
      </c>
    </row>
    <row r="109" customFormat="false" ht="15" hidden="false" customHeight="false" outlineLevel="0" collapsed="false">
      <c r="A109" s="7" t="str">
        <f aca="false">Tickers!A109</f>
        <v>KARURVYSYA</v>
      </c>
    </row>
    <row r="110" customFormat="false" ht="15" hidden="false" customHeight="false" outlineLevel="0" collapsed="false">
      <c r="A110" s="7" t="str">
        <f aca="false">Tickers!A110</f>
        <v>KAYNES</v>
      </c>
    </row>
    <row r="111" customFormat="false" ht="15" hidden="false" customHeight="false" outlineLevel="0" collapsed="false">
      <c r="A111" s="7" t="str">
        <f aca="false">Tickers!A111</f>
        <v>KEC</v>
      </c>
    </row>
    <row r="112" customFormat="false" ht="15" hidden="false" customHeight="false" outlineLevel="0" collapsed="false">
      <c r="A112" s="7" t="str">
        <f aca="false">Tickers!A112</f>
        <v>KFINTECH</v>
      </c>
    </row>
    <row r="113" customFormat="false" ht="15" hidden="false" customHeight="false" outlineLevel="0" collapsed="false">
      <c r="A113" s="7" t="str">
        <f aca="false">Tickers!A113</f>
        <v>MANAPPURAM</v>
      </c>
    </row>
    <row r="114" customFormat="false" ht="15" hidden="false" customHeight="false" outlineLevel="0" collapsed="false">
      <c r="A114" s="7" t="str">
        <f aca="false">Tickers!A114</f>
        <v>MRPL</v>
      </c>
    </row>
    <row r="115" customFormat="false" ht="15" hidden="false" customHeight="false" outlineLevel="0" collapsed="false">
      <c r="A115" s="7" t="str">
        <f aca="false">Tickers!A115</f>
        <v>MEESHO</v>
      </c>
    </row>
    <row r="116" customFormat="false" ht="15" hidden="false" customHeight="false" outlineLevel="0" collapsed="false">
      <c r="A116" s="7" t="str">
        <f aca="false">Tickers!A116</f>
        <v>NATCOPHARM</v>
      </c>
    </row>
    <row r="117" customFormat="false" ht="15" hidden="false" customHeight="false" outlineLevel="0" collapsed="false">
      <c r="A117" s="7" t="str">
        <f aca="false">Tickers!A117</f>
        <v>NBCC</v>
      </c>
    </row>
    <row r="118" customFormat="false" ht="15" hidden="false" customHeight="false" outlineLevel="0" collapsed="false">
      <c r="A118" s="7" t="str">
        <f aca="false">Tickers!A118</f>
        <v>NH</v>
      </c>
    </row>
    <row r="119" customFormat="false" ht="15" hidden="false" customHeight="false" outlineLevel="0" collapsed="false">
      <c r="A119" s="7" t="str">
        <f aca="false">Tickers!A119</f>
        <v>NAVINFLUOR</v>
      </c>
    </row>
    <row r="120" customFormat="false" ht="15" hidden="false" customHeight="false" outlineLevel="0" collapsed="false">
      <c r="A120" s="7" t="str">
        <f aca="false">Tickers!A120</f>
        <v>NETWEB</v>
      </c>
    </row>
    <row r="121" customFormat="false" ht="15" hidden="false" customHeight="false" outlineLevel="0" collapsed="false">
      <c r="A121" s="7" t="str">
        <f aca="false">Tickers!A121</f>
        <v>NEULANDLAB</v>
      </c>
    </row>
    <row r="122" customFormat="false" ht="15" hidden="false" customHeight="false" outlineLevel="0" collapsed="false">
      <c r="A122" s="7" t="str">
        <f aca="false">Tickers!A122</f>
        <v>NUVAMA</v>
      </c>
    </row>
    <row r="123" customFormat="false" ht="15" hidden="false" customHeight="false" outlineLevel="0" collapsed="false">
      <c r="A123" s="7" t="str">
        <f aca="false">Tickers!A123</f>
        <v>OLAELEC</v>
      </c>
    </row>
    <row r="124" customFormat="false" ht="15" hidden="false" customHeight="false" outlineLevel="0" collapsed="false">
      <c r="A124" s="7" t="str">
        <f aca="false">Tickers!A124</f>
        <v>PGEL</v>
      </c>
    </row>
    <row r="125" customFormat="false" ht="15" hidden="false" customHeight="false" outlineLevel="0" collapsed="false">
      <c r="A125" s="7" t="str">
        <f aca="false">Tickers!A125</f>
        <v>PNBHOUSING</v>
      </c>
    </row>
    <row r="126" customFormat="false" ht="15" hidden="false" customHeight="false" outlineLevel="0" collapsed="false">
      <c r="A126" s="7" t="str">
        <f aca="false">Tickers!A126</f>
        <v>PWL</v>
      </c>
    </row>
    <row r="127" customFormat="false" ht="15" hidden="false" customHeight="false" outlineLevel="0" collapsed="false">
      <c r="A127" s="7" t="str">
        <f aca="false">Tickers!A127</f>
        <v>PINELABS</v>
      </c>
    </row>
    <row r="128" customFormat="false" ht="15" hidden="false" customHeight="false" outlineLevel="0" collapsed="false">
      <c r="A128" s="7" t="str">
        <f aca="false">Tickers!A128</f>
        <v>PIRAMALFIN</v>
      </c>
    </row>
    <row r="129" customFormat="false" ht="15" hidden="false" customHeight="false" outlineLevel="0" collapsed="false">
      <c r="A129" s="7" t="str">
        <f aca="false">Tickers!A129</f>
        <v>PPLPHARMA</v>
      </c>
    </row>
    <row r="130" customFormat="false" ht="15" hidden="false" customHeight="false" outlineLevel="0" collapsed="false">
      <c r="A130" s="7" t="str">
        <f aca="false">Tickers!A130</f>
        <v>POONAWALLA</v>
      </c>
    </row>
    <row r="131" customFormat="false" ht="15" hidden="false" customHeight="false" outlineLevel="0" collapsed="false">
      <c r="A131" s="7" t="str">
        <f aca="false">Tickers!A131</f>
        <v>RBLBANK</v>
      </c>
    </row>
    <row r="132" customFormat="false" ht="15" hidden="false" customHeight="false" outlineLevel="0" collapsed="false">
      <c r="A132" s="7" t="str">
        <f aca="false">Tickers!A132</f>
        <v>REDINGTON</v>
      </c>
    </row>
    <row r="133" customFormat="false" ht="15" hidden="false" customHeight="false" outlineLevel="0" collapsed="false">
      <c r="A133" s="7" t="str">
        <f aca="false">Tickers!A133</f>
        <v>RPOWER</v>
      </c>
    </row>
    <row r="134" customFormat="false" ht="15" hidden="false" customHeight="false" outlineLevel="0" collapsed="false">
      <c r="A134" s="7" t="str">
        <f aca="false">Tickers!A134</f>
        <v>SAGILITY</v>
      </c>
    </row>
    <row r="135" customFormat="false" ht="15" hidden="false" customHeight="false" outlineLevel="0" collapsed="false">
      <c r="A135" s="7" t="str">
        <f aca="false">Tickers!A135</f>
        <v>SAILIFE</v>
      </c>
    </row>
    <row r="136" customFormat="false" ht="15" hidden="false" customHeight="false" outlineLevel="0" collapsed="false">
      <c r="A136" s="7" t="str">
        <f aca="false">Tickers!A136</f>
        <v>SARDAEN</v>
      </c>
    </row>
    <row r="137" customFormat="false" ht="15" hidden="false" customHeight="false" outlineLevel="0" collapsed="false">
      <c r="A137" s="7" t="str">
        <f aca="false">Tickers!A137</f>
        <v>SIGNATURE</v>
      </c>
    </row>
    <row r="138" customFormat="false" ht="15" hidden="false" customHeight="false" outlineLevel="0" collapsed="false">
      <c r="A138" s="7" t="str">
        <f aca="false">Tickers!A138</f>
        <v>SONACOMS</v>
      </c>
    </row>
    <row r="139" customFormat="false" ht="15" hidden="false" customHeight="false" outlineLevel="0" collapsed="false">
      <c r="A139" s="7" t="str">
        <f aca="false">Tickers!A139</f>
        <v>STARHEALTH</v>
      </c>
    </row>
    <row r="140" customFormat="false" ht="15" hidden="false" customHeight="false" outlineLevel="0" collapsed="false">
      <c r="A140" s="7" t="str">
        <f aca="false">Tickers!A140</f>
        <v>SWANCORP</v>
      </c>
    </row>
    <row r="141" customFormat="false" ht="15" hidden="false" customHeight="false" outlineLevel="0" collapsed="false">
      <c r="A141" s="7" t="str">
        <f aca="false">Tickers!A141</f>
        <v>SYNGENE</v>
      </c>
    </row>
    <row r="142" customFormat="false" ht="15" hidden="false" customHeight="false" outlineLevel="0" collapsed="false">
      <c r="A142" s="7" t="str">
        <f aca="false">Tickers!A142</f>
        <v>TATACHEM</v>
      </c>
    </row>
    <row r="143" customFormat="false" ht="15" hidden="false" customHeight="false" outlineLevel="0" collapsed="false">
      <c r="A143" s="7" t="str">
        <f aca="false">Tickers!A143</f>
        <v>TATATECH</v>
      </c>
    </row>
    <row r="144" customFormat="false" ht="15" hidden="false" customHeight="false" outlineLevel="0" collapsed="false">
      <c r="A144" s="7" t="str">
        <f aca="false">Tickers!A144</f>
        <v>TENNIND</v>
      </c>
    </row>
    <row r="145" customFormat="false" ht="15" hidden="false" customHeight="false" outlineLevel="0" collapsed="false">
      <c r="A145" s="7" t="str">
        <f aca="false">Tickers!A145</f>
        <v>RAMCOCEM</v>
      </c>
    </row>
    <row r="146" customFormat="false" ht="15" hidden="false" customHeight="false" outlineLevel="0" collapsed="false">
      <c r="A146" s="7" t="str">
        <f aca="false">Tickers!A146</f>
        <v>TRITURBINE</v>
      </c>
    </row>
    <row r="147" customFormat="false" ht="15" hidden="false" customHeight="false" outlineLevel="0" collapsed="false">
      <c r="A147" s="7" t="str">
        <f aca="false">Tickers!A147</f>
        <v>URBANCO</v>
      </c>
    </row>
    <row r="148" customFormat="false" ht="15" hidden="false" customHeight="false" outlineLevel="0" collapsed="false">
      <c r="A148" s="7" t="str">
        <f aca="false">Tickers!A148</f>
        <v>WELCORP</v>
      </c>
    </row>
    <row r="149" customFormat="false" ht="15" hidden="false" customHeight="false" outlineLevel="0" collapsed="false">
      <c r="A149" s="7" t="str">
        <f aca="false">Tickers!A149</f>
        <v>WHIRLPOOL</v>
      </c>
    </row>
    <row r="150" customFormat="false" ht="15" hidden="false" customHeight="false" outlineLevel="0" collapsed="false">
      <c r="A150" s="7" t="str">
        <f aca="false">Tickers!A150</f>
        <v>WOCKPHARMA</v>
      </c>
    </row>
    <row r="151" customFormat="false" ht="15" hidden="false" customHeight="false" outlineLevel="0" collapsed="false">
      <c r="A151" s="7" t="str">
        <f aca="false">Tickers!A151</f>
        <v>ZENSARTECH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2"/>
  </cols>
  <sheetData>
    <row r="1" customFormat="false" ht="17.35" hidden="false" customHeight="false" outlineLevel="0" collapsed="false">
      <c r="A1" s="1" t="s">
        <v>418</v>
      </c>
    </row>
    <row r="3" customFormat="false" ht="15" hidden="false" customHeight="false" outlineLevel="0" collapsed="false">
      <c r="A3" s="2" t="s">
        <v>419</v>
      </c>
    </row>
    <row r="4" customFormat="false" ht="15" hidden="false" customHeight="false" outlineLevel="0" collapsed="false">
      <c r="A4" s="3" t="s">
        <v>420</v>
      </c>
      <c r="B4" s="14"/>
      <c r="D4" s="9" t="s">
        <v>421</v>
      </c>
    </row>
    <row r="5" customFormat="false" ht="15" hidden="false" customHeight="false" outlineLevel="0" collapsed="false">
      <c r="A5" s="3" t="s">
        <v>422</v>
      </c>
      <c r="B5" s="14"/>
      <c r="D5" s="9" t="s">
        <v>423</v>
      </c>
    </row>
    <row r="6" customFormat="false" ht="15" hidden="false" customHeight="false" outlineLevel="0" collapsed="false">
      <c r="A6" s="3" t="s">
        <v>424</v>
      </c>
      <c r="B6" s="14"/>
      <c r="D6" s="9" t="s">
        <v>425</v>
      </c>
    </row>
    <row r="8" customFormat="false" ht="15" hidden="false" customHeight="false" outlineLevel="0" collapsed="false">
      <c r="A8" s="2" t="s">
        <v>426</v>
      </c>
    </row>
    <row r="9" customFormat="false" ht="15" hidden="false" customHeight="false" outlineLevel="0" collapsed="false">
      <c r="A9" s="3" t="s">
        <v>427</v>
      </c>
      <c r="B9" s="15" t="n">
        <f aca="false">IF(OR(NOT(ISNUMBER(B4)),NOT(ISNUMBER(B5)),B5=0),50,MIN(100,MAX(0,50+((B4-B5)/B5)*500)))</f>
        <v>50</v>
      </c>
      <c r="D9" s="9" t="s">
        <v>428</v>
      </c>
    </row>
    <row r="10" customFormat="false" ht="15" hidden="false" customHeight="false" outlineLevel="0" collapsed="false">
      <c r="A10" s="3" t="s">
        <v>429</v>
      </c>
      <c r="B10" s="15" t="n">
        <f aca="false">IF(NOT(ISNUMBER(B6)),50,IF(B6&lt;13,85,IF(B6&lt;17,65,IF(B6&lt;22,40,15))))</f>
        <v>50</v>
      </c>
      <c r="D10" s="9" t="s">
        <v>430</v>
      </c>
    </row>
    <row r="12" customFormat="false" ht="15" hidden="false" customHeight="false" outlineLevel="0" collapsed="false">
      <c r="A12" s="2" t="s">
        <v>431</v>
      </c>
    </row>
    <row r="13" customFormat="false" ht="15" hidden="false" customHeight="false" outlineLevel="0" collapsed="false">
      <c r="A13" s="3" t="s">
        <v>432</v>
      </c>
      <c r="B13" s="16" t="n">
        <v>60</v>
      </c>
      <c r="D13" s="9" t="s">
        <v>433</v>
      </c>
    </row>
    <row r="14" customFormat="false" ht="15" hidden="false" customHeight="false" outlineLevel="0" collapsed="false">
      <c r="A14" s="3" t="s">
        <v>434</v>
      </c>
      <c r="B14" s="16" t="n">
        <v>60</v>
      </c>
      <c r="D14" s="9" t="s">
        <v>435</v>
      </c>
    </row>
    <row r="15" customFormat="false" ht="15" hidden="false" customHeight="false" outlineLevel="0" collapsed="false">
      <c r="A15" s="3" t="s">
        <v>436</v>
      </c>
      <c r="B15" s="16" t="n">
        <v>50</v>
      </c>
      <c r="D15" s="9" t="s">
        <v>437</v>
      </c>
    </row>
    <row r="16" customFormat="false" ht="15" hidden="false" customHeight="false" outlineLevel="0" collapsed="false">
      <c r="A16" s="3" t="s">
        <v>438</v>
      </c>
      <c r="B16" s="16" t="n">
        <v>50</v>
      </c>
      <c r="D16" s="9" t="s">
        <v>439</v>
      </c>
    </row>
    <row r="18" customFormat="false" ht="15" hidden="false" customHeight="false" outlineLevel="0" collapsed="false">
      <c r="A18" s="2" t="s">
        <v>440</v>
      </c>
    </row>
    <row r="19" customFormat="false" ht="15" hidden="false" customHeight="false" outlineLevel="0" collapsed="false">
      <c r="A19" s="3" t="s">
        <v>441</v>
      </c>
      <c r="B19" s="17" t="n">
        <v>0.25</v>
      </c>
    </row>
    <row r="20" customFormat="false" ht="15" hidden="false" customHeight="false" outlineLevel="0" collapsed="false">
      <c r="A20" s="3" t="s">
        <v>442</v>
      </c>
      <c r="B20" s="17" t="n">
        <v>0.15</v>
      </c>
    </row>
    <row r="21" customFormat="false" ht="15" hidden="false" customHeight="false" outlineLevel="0" collapsed="false">
      <c r="A21" s="3" t="s">
        <v>443</v>
      </c>
      <c r="B21" s="17" t="n">
        <v>0.2</v>
      </c>
    </row>
    <row r="22" customFormat="false" ht="15" hidden="false" customHeight="false" outlineLevel="0" collapsed="false">
      <c r="A22" s="3" t="s">
        <v>444</v>
      </c>
      <c r="B22" s="17" t="n">
        <v>0.15</v>
      </c>
    </row>
    <row r="23" customFormat="false" ht="15" hidden="false" customHeight="false" outlineLevel="0" collapsed="false">
      <c r="A23" s="3" t="s">
        <v>445</v>
      </c>
      <c r="B23" s="17" t="n">
        <v>0.15</v>
      </c>
    </row>
    <row r="24" customFormat="false" ht="15" hidden="false" customHeight="false" outlineLevel="0" collapsed="false">
      <c r="A24" s="3" t="s">
        <v>446</v>
      </c>
      <c r="B24" s="17" t="n">
        <v>0.1</v>
      </c>
    </row>
    <row r="26" customFormat="false" ht="15" hidden="false" customHeight="false" outlineLevel="0" collapsed="false">
      <c r="A26" s="2" t="s">
        <v>447</v>
      </c>
      <c r="B26" s="18" t="n">
        <f aca="false">B19*B9+B20*B10+B21*B13+B22*B14+B23*B15+B24*B16</f>
        <v>53.5</v>
      </c>
    </row>
    <row r="27" customFormat="false" ht="15" hidden="false" customHeight="false" outlineLevel="0" collapsed="false">
      <c r="A27" s="3" t="s">
        <v>448</v>
      </c>
      <c r="B27" s="4" t="str">
        <f aca="false">IF(B26&gt;=60,"RISK-ON",IF(B26&gt;=40,"NEUTRAL","RISK-OFF"))</f>
        <v>NEUTRAL</v>
      </c>
      <c r="D27" s="9" t="s">
        <v>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8" min="2" style="0" width="13"/>
    <col collapsed="false" customWidth="true" hidden="false" outlineLevel="0" max="19" min="19" style="0" width="18"/>
    <col collapsed="false" customWidth="true" hidden="false" outlineLevel="0" max="21" min="20" style="0" width="13"/>
  </cols>
  <sheetData>
    <row r="1" customFormat="false" ht="15" hidden="false" customHeight="false" outlineLevel="0" collapsed="false">
      <c r="A1" s="6" t="s">
        <v>35</v>
      </c>
      <c r="B1" s="6" t="s">
        <v>69</v>
      </c>
      <c r="C1" s="6" t="s">
        <v>450</v>
      </c>
      <c r="D1" s="6" t="s">
        <v>451</v>
      </c>
      <c r="E1" s="6" t="s">
        <v>452</v>
      </c>
      <c r="F1" s="6" t="s">
        <v>453</v>
      </c>
      <c r="G1" s="6" t="s">
        <v>454</v>
      </c>
      <c r="H1" s="6" t="s">
        <v>455</v>
      </c>
      <c r="I1" s="6" t="s">
        <v>456</v>
      </c>
      <c r="J1" s="6" t="s">
        <v>457</v>
      </c>
      <c r="K1" s="6" t="s">
        <v>458</v>
      </c>
      <c r="L1" s="6" t="s">
        <v>459</v>
      </c>
      <c r="M1" s="6" t="s">
        <v>460</v>
      </c>
      <c r="N1" s="6" t="s">
        <v>461</v>
      </c>
      <c r="O1" s="6" t="s">
        <v>462</v>
      </c>
      <c r="P1" s="6" t="s">
        <v>463</v>
      </c>
      <c r="Q1" s="6" t="s">
        <v>39</v>
      </c>
      <c r="R1" s="6" t="s">
        <v>464</v>
      </c>
      <c r="S1" s="6" t="s">
        <v>40</v>
      </c>
      <c r="T1" s="6" t="s">
        <v>465</v>
      </c>
      <c r="U1" s="6" t="s">
        <v>466</v>
      </c>
    </row>
    <row r="2" customFormat="false" ht="15" hidden="false" customHeight="false" outlineLevel="0" collapsed="false">
      <c r="A2" s="7" t="str">
        <f aca="false">Tickers!A2</f>
        <v>APLAPOLLO</v>
      </c>
      <c r="B2" s="19" t="b">
        <f aca="false">Tickers!F2</f>
        <v>1</v>
      </c>
      <c r="C2" s="5" t="n">
        <f aca="false">AVERAGE(IF(NOT(ISNUMBER(Fundamentals!C2)),50,IF(Fundamentals!C2&lt;=0,15,100*(1-(SUMPRODUCT(($B$2:$B$151=TRUE())*ISNUMBER(Fundamentals!$C$2:$C$151)*(Fundamentals!$C$2:$C$151&gt;0)*(Fundamentals!$C$2:$C$151&lt;Fundamentals!C2))/MAX(1,SUMPRODUCT(($B$2:$B$151=TRUE())*ISNUMBER(Fundamentals!$C$2:$C$151)*(Fundamentals!$C$2:$C$151&gt;0))))))),IF(NOT(ISNUMBER(Fundamentals!E2)),50,IF(Fundamentals!E2&lt;=0,15,100*(1-(SUMPRODUCT(($B$2:$B$151=TRUE())*ISNUMBER(Fundamentals!$E$2:$E$151)*(Fundamentals!$E$2:$E$151&gt;0)*(Fundamentals!$E$2:$E$151&lt;Fundamentals!E2))/MAX(1,SUMPRODUCT(($B$2:$B$151=TRUE())*ISNUMBER(Fundamentals!$E$2:$E$151)*(Fundamentals!$E$2:$E$151&gt;0))))))))</f>
        <v>50</v>
      </c>
      <c r="D2" s="5" t="n">
        <f aca="false">AVERAGE(IF(NOT(ISNUMBER(Fundamentals!F2)),50,100*(SUMPRODUCT(($B$2:$B$151=TRUE())*ISNUMBER(Fundamentals!$F$2:$F$151)*(Fundamentals!$F$2:$F$151&lt;Fundamentals!F2))/MAX(1,SUMPRODUCT(($B$2:$B$151=TRUE())*ISNUMBER(Fundamentals!$F$2:$F$151))))),IF(NOT(ISNUMBER(Fundamentals!J2)),50,100*(SUMPRODUCT(($B$2:$B$151=TRUE())*ISNUMBER(Fundamentals!$J$2:$J$151)*(Fundamentals!$J$2:$J$151&lt;Fundamentals!J2))/MAX(1,SUMPRODUCT(($B$2:$B$151=TRUE())*ISNUMBER(Fundamentals!$J$2:$J$151))))))</f>
        <v>50</v>
      </c>
      <c r="E2" s="5" t="n">
        <f aca="false">AVERAGE(IF(NOT(ISNUMBER(Fundamentals!H2)),50,100*(SUMPRODUCT(($B$2:$B$151=TRUE())*ISNUMBER(Fundamentals!$H$2:$H$151)*(Fundamentals!$H$2:$H$151&lt;Fundamentals!H2))/MAX(1,SUMPRODUCT(($B$2:$B$151=TRUE())*ISNUMBER(Fundamentals!$H$2:$H$151))))),IF(NOT(ISNUMBER(Fundamentals!I2)),50,100*(SUMPRODUCT(($B$2:$B$151=TRUE())*ISNUMBER(Fundamentals!$I$2:$I$151)*(Fundamentals!$I$2:$I$151&lt;Fundamentals!I2))/MAX(1,SUMPRODUCT(($B$2:$B$151=TRUE())*ISNUMBER(Fundamentals!$I$2:$I$151))))))</f>
        <v>50</v>
      </c>
      <c r="F2" s="5" t="n">
        <f aca="false">IF(Tickers!C2="Financial Services",50,IF(NOT(ISNUMBER(Fundamentals!G2)),50,100*(1-(SUMPRODUCT(($B$2:$B$151=TRUE())*ISNUMBER(Fundamentals!$G$2:$G$151)*(Fundamentals!$G$2:$G$151&lt;Fundamentals!G2))/MAX(1,SUMPRODUCT(($B$2:$B$151=TRUE())*ISNUMBER(Fundamentals!$G$2:$G$151)))))))</f>
        <v>50</v>
      </c>
      <c r="G2" s="5" t="n">
        <f aca="false">AVERAGE(C2:F2)</f>
        <v>50</v>
      </c>
      <c r="H2" s="5" t="n">
        <f aca="false">MIN(100,MAX(0,IF(NOT(ISNUMBER(PriceMetrics!K2)),50,100*(SUMPRODUCT(($B$2:$B$151=TRUE())*ISNUMBER(PriceMetrics!$K$2:$K$151)*(PriceMetrics!$K$2:$K$151&lt;PriceMetrics!K2))/MAX(1,SUMPRODUCT(($B$2:$B$151=TRUE())*ISNUMBER(PriceMetrics!$K$2:$K$151)))))+IF(ISNUMBER(PriceMetrics!L2),10*PriceMetrics!L2,0)))</f>
        <v>50</v>
      </c>
      <c r="I2" s="5" t="n">
        <f aca="false">0.6*IF(NOT(ISNUMBER(PriceMetrics!P2)),50,100*(SUMPRODUCT(($B$2:$B$151=TRUE())*ISNUMBER(PriceMetrics!$P$2:$P$151)*(PriceMetrics!$P$2:$P$151&lt;PriceMetrics!P2))/MAX(1,SUMPRODUCT(($B$2:$B$151=TRUE())*ISNUMBER(PriceMetrics!$P$2:$P$151)))))+0.4*IF(NOT(ISNUMBER(PriceMetrics!H2)),50,IF(PriceMetrics!H2&gt;70,40,IF(PriceMetrics!H2&gt;=50,100,IF(PriceMetrics!H2&gt;=35,60,30))))</f>
        <v>50</v>
      </c>
      <c r="J2" s="5" t="n">
        <f aca="false">AVERAGE(IF(NOT(ISNUMBER(PriceMetrics!F2)),50,100*(1-(SUMPRODUCT(($B$2:$B$151=TRUE())*ISNUMBER(PriceMetrics!$F$2:$F$151)*(PriceMetrics!$F$2:$F$151&lt;PriceMetrics!F2))/MAX(1,SUMPRODUCT(($B$2:$B$151=TRUE())*ISNUMBER(PriceMetrics!$F$2:$F$151)))))),IF(NOT(ISNUMBER(PriceMetrics!G2)),50,100*(1-(SUMPRODUCT(($B$2:$B$151=TRUE())*ISNUMBER(PriceMetrics!$G$2:$G$151)*(ABS(PriceMetrics!$G$2:$G$151)&lt;ABS(PriceMetrics!G2)))/MAX(1,SUMPRODUCT(($B$2:$B$151=TRUE())*ISNUMBER(PriceMetrics!$G$2:$G$151)))))))</f>
        <v>50</v>
      </c>
      <c r="K2" s="5" t="n">
        <f aca="false">AVERAGE(H2:J2)</f>
        <v>50</v>
      </c>
      <c r="L2" s="8" t="n">
        <f aca="false">Macro!$B$26</f>
        <v>53.5</v>
      </c>
      <c r="M2" s="5" t="n">
        <f aca="false">Control!$B$3*100*G2/100+Control!$B$4*K2+Control!$B$5*L2</f>
        <v>50.7</v>
      </c>
      <c r="N2" s="3" t="n">
        <f aca="false">M2+ROW()/1000000</f>
        <v>50.700002</v>
      </c>
      <c r="O2" s="5" t="n">
        <f aca="false">M2-IF(AND(Tickers!D2="SMALLCAP100",Macro!$B$26&lt;40),Control!$B$11,0)</f>
        <v>50.7</v>
      </c>
      <c r="P2" s="3" t="str">
        <f aca="false">IF(B2=FALSE(),"-",IF(O2&gt;=Control!$B$7,"BUY",IF(O2&gt;=Control!$B$8,"ACCUMULATE",IF(O2&gt;=Control!$B$9,"HOLD","AVOID"))))</f>
        <v>HOLD</v>
      </c>
      <c r="Q2" s="3" t="str">
        <f aca="false">IF(B2=FALSE(),"",IF(OR(O2&gt;=72,O2&lt;=32),"High",IF(OR(O2&gt;=62,O2&lt;=42),"Medium","Low")))</f>
        <v>Low</v>
      </c>
      <c r="R2" s="12" t="n">
        <f aca="false">IF(P2="BUY",Control!$B$12,IF(P2="ACCUMULATE",Control!$B$13,0))</f>
        <v>0</v>
      </c>
      <c r="S2" s="3" t="str">
        <f aca="false">IF(B2=FALSE(),"",IF(T2=C2,"Rich valuation",IF(T2=E2,"Weak growth",IF(T2=F2,"Balance-sheet leverage",IF(T2=I2,"Negative momentum","High volatility/drawdown")))))</f>
        <v>Rich valuation</v>
      </c>
      <c r="T2" s="3" t="n">
        <f aca="false">MIN(C2,E2,F2,I2,J2)</f>
        <v>50</v>
      </c>
      <c r="U2" s="3" t="n">
        <f aca="false">IF(B2=TRUE(),N2,-1000+ROW()/1000000)</f>
        <v>50.700002</v>
      </c>
    </row>
    <row r="3" customFormat="false" ht="15" hidden="false" customHeight="false" outlineLevel="0" collapsed="false">
      <c r="A3" s="7" t="str">
        <f aca="false">Tickers!A3</f>
        <v>AUBANK</v>
      </c>
      <c r="B3" s="19" t="b">
        <f aca="false">Tickers!F3</f>
        <v>1</v>
      </c>
      <c r="C3" s="5" t="n">
        <f aca="false">AVERAGE(IF(NOT(ISNUMBER(Fundamentals!C3)),50,IF(Fundamentals!C3&lt;=0,15,100*(1-(SUMPRODUCT(($B$2:$B$151=TRUE())*ISNUMBER(Fundamentals!$C$2:$C$151)*(Fundamentals!$C$2:$C$151&gt;0)*(Fundamentals!$C$2:$C$151&lt;Fundamentals!C3))/MAX(1,SUMPRODUCT(($B$2:$B$151=TRUE())*ISNUMBER(Fundamentals!$C$2:$C$151)*(Fundamentals!$C$2:$C$151&gt;0))))))),IF(NOT(ISNUMBER(Fundamentals!E3)),50,IF(Fundamentals!E3&lt;=0,15,100*(1-(SUMPRODUCT(($B$2:$B$151=TRUE())*ISNUMBER(Fundamentals!$E$2:$E$151)*(Fundamentals!$E$2:$E$151&gt;0)*(Fundamentals!$E$2:$E$151&lt;Fundamentals!E3))/MAX(1,SUMPRODUCT(($B$2:$B$151=TRUE())*ISNUMBER(Fundamentals!$E$2:$E$151)*(Fundamentals!$E$2:$E$151&gt;0))))))))</f>
        <v>50</v>
      </c>
      <c r="D3" s="5" t="n">
        <f aca="false">AVERAGE(IF(NOT(ISNUMBER(Fundamentals!F3)),50,100*(SUMPRODUCT(($B$2:$B$151=TRUE())*ISNUMBER(Fundamentals!$F$2:$F$151)*(Fundamentals!$F$2:$F$151&lt;Fundamentals!F3))/MAX(1,SUMPRODUCT(($B$2:$B$151=TRUE())*ISNUMBER(Fundamentals!$F$2:$F$151))))),IF(NOT(ISNUMBER(Fundamentals!J3)),50,100*(SUMPRODUCT(($B$2:$B$151=TRUE())*ISNUMBER(Fundamentals!$J$2:$J$151)*(Fundamentals!$J$2:$J$151&lt;Fundamentals!J3))/MAX(1,SUMPRODUCT(($B$2:$B$151=TRUE())*ISNUMBER(Fundamentals!$J$2:$J$151))))))</f>
        <v>50</v>
      </c>
      <c r="E3" s="5" t="n">
        <f aca="false">AVERAGE(IF(NOT(ISNUMBER(Fundamentals!H3)),50,100*(SUMPRODUCT(($B$2:$B$151=TRUE())*ISNUMBER(Fundamentals!$H$2:$H$151)*(Fundamentals!$H$2:$H$151&lt;Fundamentals!H3))/MAX(1,SUMPRODUCT(($B$2:$B$151=TRUE())*ISNUMBER(Fundamentals!$H$2:$H$151))))),IF(NOT(ISNUMBER(Fundamentals!I3)),50,100*(SUMPRODUCT(($B$2:$B$151=TRUE())*ISNUMBER(Fundamentals!$I$2:$I$151)*(Fundamentals!$I$2:$I$151&lt;Fundamentals!I3))/MAX(1,SUMPRODUCT(($B$2:$B$151=TRUE())*ISNUMBER(Fundamentals!$I$2:$I$151))))))</f>
        <v>50</v>
      </c>
      <c r="F3" s="5" t="n">
        <f aca="false">IF(Tickers!C3="Financial Services",50,IF(NOT(ISNUMBER(Fundamentals!G3)),50,100*(1-(SUMPRODUCT(($B$2:$B$151=TRUE())*ISNUMBER(Fundamentals!$G$2:$G$151)*(Fundamentals!$G$2:$G$151&lt;Fundamentals!G3))/MAX(1,SUMPRODUCT(($B$2:$B$151=TRUE())*ISNUMBER(Fundamentals!$G$2:$G$151)))))))</f>
        <v>50</v>
      </c>
      <c r="G3" s="5" t="n">
        <f aca="false">AVERAGE(C3:F3)</f>
        <v>50</v>
      </c>
      <c r="H3" s="5" t="n">
        <f aca="false">MIN(100,MAX(0,IF(NOT(ISNUMBER(PriceMetrics!K3)),50,100*(SUMPRODUCT(($B$2:$B$151=TRUE())*ISNUMBER(PriceMetrics!$K$2:$K$151)*(PriceMetrics!$K$2:$K$151&lt;PriceMetrics!K3))/MAX(1,SUMPRODUCT(($B$2:$B$151=TRUE())*ISNUMBER(PriceMetrics!$K$2:$K$151)))))+IF(ISNUMBER(PriceMetrics!L3),10*PriceMetrics!L3,0)))</f>
        <v>50</v>
      </c>
      <c r="I3" s="5" t="n">
        <f aca="false">0.6*IF(NOT(ISNUMBER(PriceMetrics!P3)),50,100*(SUMPRODUCT(($B$2:$B$151=TRUE())*ISNUMBER(PriceMetrics!$P$2:$P$151)*(PriceMetrics!$P$2:$P$151&lt;PriceMetrics!P3))/MAX(1,SUMPRODUCT(($B$2:$B$151=TRUE())*ISNUMBER(PriceMetrics!$P$2:$P$151)))))+0.4*IF(NOT(ISNUMBER(PriceMetrics!H3)),50,IF(PriceMetrics!H3&gt;70,40,IF(PriceMetrics!H3&gt;=50,100,IF(PriceMetrics!H3&gt;=35,60,30))))</f>
        <v>50</v>
      </c>
      <c r="J3" s="5" t="n">
        <f aca="false">AVERAGE(IF(NOT(ISNUMBER(PriceMetrics!F3)),50,100*(1-(SUMPRODUCT(($B$2:$B$151=TRUE())*ISNUMBER(PriceMetrics!$F$2:$F$151)*(PriceMetrics!$F$2:$F$151&lt;PriceMetrics!F3))/MAX(1,SUMPRODUCT(($B$2:$B$151=TRUE())*ISNUMBER(PriceMetrics!$F$2:$F$151)))))),IF(NOT(ISNUMBER(PriceMetrics!G3)),50,100*(1-(SUMPRODUCT(($B$2:$B$151=TRUE())*ISNUMBER(PriceMetrics!$G$2:$G$151)*(ABS(PriceMetrics!$G$2:$G$151)&lt;ABS(PriceMetrics!G3)))/MAX(1,SUMPRODUCT(($B$2:$B$151=TRUE())*ISNUMBER(PriceMetrics!$G$2:$G$151)))))))</f>
        <v>50</v>
      </c>
      <c r="K3" s="5" t="n">
        <f aca="false">AVERAGE(H3:J3)</f>
        <v>50</v>
      </c>
      <c r="L3" s="8" t="n">
        <f aca="false">Macro!$B$26</f>
        <v>53.5</v>
      </c>
      <c r="M3" s="5" t="n">
        <f aca="false">Control!$B$3*100*G3/100+Control!$B$4*K3+Control!$B$5*L3</f>
        <v>50.7</v>
      </c>
      <c r="N3" s="3" t="n">
        <f aca="false">M3+ROW()/1000000</f>
        <v>50.700003</v>
      </c>
      <c r="O3" s="5" t="n">
        <f aca="false">M3-IF(AND(Tickers!D3="SMALLCAP100",Macro!$B$26&lt;40),Control!$B$11,0)</f>
        <v>50.7</v>
      </c>
      <c r="P3" s="3" t="str">
        <f aca="false">IF(B3=FALSE(),"-",IF(O3&gt;=Control!$B$7,"BUY",IF(O3&gt;=Control!$B$8,"ACCUMULATE",IF(O3&gt;=Control!$B$9,"HOLD","AVOID"))))</f>
        <v>HOLD</v>
      </c>
      <c r="Q3" s="3" t="str">
        <f aca="false">IF(B3=FALSE(),"",IF(OR(O3&gt;=72,O3&lt;=32),"High",IF(OR(O3&gt;=62,O3&lt;=42),"Medium","Low")))</f>
        <v>Low</v>
      </c>
      <c r="R3" s="12" t="n">
        <f aca="false">IF(P3="BUY",Control!$B$12,IF(P3="ACCUMULATE",Control!$B$13,0))</f>
        <v>0</v>
      </c>
      <c r="S3" s="3" t="str">
        <f aca="false">IF(B3=FALSE(),"",IF(T3=C3,"Rich valuation",IF(T3=E3,"Weak growth",IF(T3=F3,"Balance-sheet leverage",IF(T3=I3,"Negative momentum","High volatility/drawdown")))))</f>
        <v>Rich valuation</v>
      </c>
      <c r="T3" s="3" t="n">
        <f aca="false">MIN(C3,E3,F3,I3,J3)</f>
        <v>50</v>
      </c>
      <c r="U3" s="3" t="n">
        <f aca="false">IF(B3=TRUE(),N3,-1000+ROW()/1000000)</f>
        <v>50.700003</v>
      </c>
    </row>
    <row r="4" customFormat="false" ht="15" hidden="false" customHeight="false" outlineLevel="0" collapsed="false">
      <c r="A4" s="7" t="str">
        <f aca="false">Tickers!A4</f>
        <v>ALKEM</v>
      </c>
      <c r="B4" s="19" t="b">
        <f aca="false">Tickers!F4</f>
        <v>1</v>
      </c>
      <c r="C4" s="5" t="n">
        <f aca="false">AVERAGE(IF(NOT(ISNUMBER(Fundamentals!C4)),50,IF(Fundamentals!C4&lt;=0,15,100*(1-(SUMPRODUCT(($B$2:$B$151=TRUE())*ISNUMBER(Fundamentals!$C$2:$C$151)*(Fundamentals!$C$2:$C$151&gt;0)*(Fundamentals!$C$2:$C$151&lt;Fundamentals!C4))/MAX(1,SUMPRODUCT(($B$2:$B$151=TRUE())*ISNUMBER(Fundamentals!$C$2:$C$151)*(Fundamentals!$C$2:$C$151&gt;0))))))),IF(NOT(ISNUMBER(Fundamentals!E4)),50,IF(Fundamentals!E4&lt;=0,15,100*(1-(SUMPRODUCT(($B$2:$B$151=TRUE())*ISNUMBER(Fundamentals!$E$2:$E$151)*(Fundamentals!$E$2:$E$151&gt;0)*(Fundamentals!$E$2:$E$151&lt;Fundamentals!E4))/MAX(1,SUMPRODUCT(($B$2:$B$151=TRUE())*ISNUMBER(Fundamentals!$E$2:$E$151)*(Fundamentals!$E$2:$E$151&gt;0))))))))</f>
        <v>50</v>
      </c>
      <c r="D4" s="5" t="n">
        <f aca="false">AVERAGE(IF(NOT(ISNUMBER(Fundamentals!F4)),50,100*(SUMPRODUCT(($B$2:$B$151=TRUE())*ISNUMBER(Fundamentals!$F$2:$F$151)*(Fundamentals!$F$2:$F$151&lt;Fundamentals!F4))/MAX(1,SUMPRODUCT(($B$2:$B$151=TRUE())*ISNUMBER(Fundamentals!$F$2:$F$151))))),IF(NOT(ISNUMBER(Fundamentals!J4)),50,100*(SUMPRODUCT(($B$2:$B$151=TRUE())*ISNUMBER(Fundamentals!$J$2:$J$151)*(Fundamentals!$J$2:$J$151&lt;Fundamentals!J4))/MAX(1,SUMPRODUCT(($B$2:$B$151=TRUE())*ISNUMBER(Fundamentals!$J$2:$J$151))))))</f>
        <v>50</v>
      </c>
      <c r="E4" s="5" t="n">
        <f aca="false">AVERAGE(IF(NOT(ISNUMBER(Fundamentals!H4)),50,100*(SUMPRODUCT(($B$2:$B$151=TRUE())*ISNUMBER(Fundamentals!$H$2:$H$151)*(Fundamentals!$H$2:$H$151&lt;Fundamentals!H4))/MAX(1,SUMPRODUCT(($B$2:$B$151=TRUE())*ISNUMBER(Fundamentals!$H$2:$H$151))))),IF(NOT(ISNUMBER(Fundamentals!I4)),50,100*(SUMPRODUCT(($B$2:$B$151=TRUE())*ISNUMBER(Fundamentals!$I$2:$I$151)*(Fundamentals!$I$2:$I$151&lt;Fundamentals!I4))/MAX(1,SUMPRODUCT(($B$2:$B$151=TRUE())*ISNUMBER(Fundamentals!$I$2:$I$151))))))</f>
        <v>50</v>
      </c>
      <c r="F4" s="5" t="n">
        <f aca="false">IF(Tickers!C4="Financial Services",50,IF(NOT(ISNUMBER(Fundamentals!G4)),50,100*(1-(SUMPRODUCT(($B$2:$B$151=TRUE())*ISNUMBER(Fundamentals!$G$2:$G$151)*(Fundamentals!$G$2:$G$151&lt;Fundamentals!G4))/MAX(1,SUMPRODUCT(($B$2:$B$151=TRUE())*ISNUMBER(Fundamentals!$G$2:$G$151)))))))</f>
        <v>50</v>
      </c>
      <c r="G4" s="5" t="n">
        <f aca="false">AVERAGE(C4:F4)</f>
        <v>50</v>
      </c>
      <c r="H4" s="5" t="n">
        <f aca="false">MIN(100,MAX(0,IF(NOT(ISNUMBER(PriceMetrics!K4)),50,100*(SUMPRODUCT(($B$2:$B$151=TRUE())*ISNUMBER(PriceMetrics!$K$2:$K$151)*(PriceMetrics!$K$2:$K$151&lt;PriceMetrics!K4))/MAX(1,SUMPRODUCT(($B$2:$B$151=TRUE())*ISNUMBER(PriceMetrics!$K$2:$K$151)))))+IF(ISNUMBER(PriceMetrics!L4),10*PriceMetrics!L4,0)))</f>
        <v>50</v>
      </c>
      <c r="I4" s="5" t="n">
        <f aca="false">0.6*IF(NOT(ISNUMBER(PriceMetrics!P4)),50,100*(SUMPRODUCT(($B$2:$B$151=TRUE())*ISNUMBER(PriceMetrics!$P$2:$P$151)*(PriceMetrics!$P$2:$P$151&lt;PriceMetrics!P4))/MAX(1,SUMPRODUCT(($B$2:$B$151=TRUE())*ISNUMBER(PriceMetrics!$P$2:$P$151)))))+0.4*IF(NOT(ISNUMBER(PriceMetrics!H4)),50,IF(PriceMetrics!H4&gt;70,40,IF(PriceMetrics!H4&gt;=50,100,IF(PriceMetrics!H4&gt;=35,60,30))))</f>
        <v>50</v>
      </c>
      <c r="J4" s="5" t="n">
        <f aca="false">AVERAGE(IF(NOT(ISNUMBER(PriceMetrics!F4)),50,100*(1-(SUMPRODUCT(($B$2:$B$151=TRUE())*ISNUMBER(PriceMetrics!$F$2:$F$151)*(PriceMetrics!$F$2:$F$151&lt;PriceMetrics!F4))/MAX(1,SUMPRODUCT(($B$2:$B$151=TRUE())*ISNUMBER(PriceMetrics!$F$2:$F$151)))))),IF(NOT(ISNUMBER(PriceMetrics!G4)),50,100*(1-(SUMPRODUCT(($B$2:$B$151=TRUE())*ISNUMBER(PriceMetrics!$G$2:$G$151)*(ABS(PriceMetrics!$G$2:$G$151)&lt;ABS(PriceMetrics!G4)))/MAX(1,SUMPRODUCT(($B$2:$B$151=TRUE())*ISNUMBER(PriceMetrics!$G$2:$G$151)))))))</f>
        <v>50</v>
      </c>
      <c r="K4" s="5" t="n">
        <f aca="false">AVERAGE(H4:J4)</f>
        <v>50</v>
      </c>
      <c r="L4" s="8" t="n">
        <f aca="false">Macro!$B$26</f>
        <v>53.5</v>
      </c>
      <c r="M4" s="5" t="n">
        <f aca="false">Control!$B$3*100*G4/100+Control!$B$4*K4+Control!$B$5*L4</f>
        <v>50.7</v>
      </c>
      <c r="N4" s="3" t="n">
        <f aca="false">M4+ROW()/1000000</f>
        <v>50.700004</v>
      </c>
      <c r="O4" s="5" t="n">
        <f aca="false">M4-IF(AND(Tickers!D4="SMALLCAP100",Macro!$B$26&lt;40),Control!$B$11,0)</f>
        <v>50.7</v>
      </c>
      <c r="P4" s="3" t="str">
        <f aca="false">IF(B4=FALSE(),"-",IF(O4&gt;=Control!$B$7,"BUY",IF(O4&gt;=Control!$B$8,"ACCUMULATE",IF(O4&gt;=Control!$B$9,"HOLD","AVOID"))))</f>
        <v>HOLD</v>
      </c>
      <c r="Q4" s="3" t="str">
        <f aca="false">IF(B4=FALSE(),"",IF(OR(O4&gt;=72,O4&lt;=32),"High",IF(OR(O4&gt;=62,O4&lt;=42),"Medium","Low")))</f>
        <v>Low</v>
      </c>
      <c r="R4" s="12" t="n">
        <f aca="false">IF(P4="BUY",Control!$B$12,IF(P4="ACCUMULATE",Control!$B$13,0))</f>
        <v>0</v>
      </c>
      <c r="S4" s="3" t="str">
        <f aca="false">IF(B4=FALSE(),"",IF(T4=C4,"Rich valuation",IF(T4=E4,"Weak growth",IF(T4=F4,"Balance-sheet leverage",IF(T4=I4,"Negative momentum","High volatility/drawdown")))))</f>
        <v>Rich valuation</v>
      </c>
      <c r="T4" s="3" t="n">
        <f aca="false">MIN(C4,E4,F4,I4,J4)</f>
        <v>50</v>
      </c>
      <c r="U4" s="3" t="n">
        <f aca="false">IF(B4=TRUE(),N4,-1000+ROW()/1000000)</f>
        <v>50.700004</v>
      </c>
    </row>
    <row r="5" customFormat="false" ht="15" hidden="false" customHeight="false" outlineLevel="0" collapsed="false">
      <c r="A5" s="7" t="str">
        <f aca="false">Tickers!A5</f>
        <v>ASHOKLEY</v>
      </c>
      <c r="B5" s="19" t="b">
        <f aca="false">Tickers!F5</f>
        <v>1</v>
      </c>
      <c r="C5" s="5" t="n">
        <f aca="false">AVERAGE(IF(NOT(ISNUMBER(Fundamentals!C5)),50,IF(Fundamentals!C5&lt;=0,15,100*(1-(SUMPRODUCT(($B$2:$B$151=TRUE())*ISNUMBER(Fundamentals!$C$2:$C$151)*(Fundamentals!$C$2:$C$151&gt;0)*(Fundamentals!$C$2:$C$151&lt;Fundamentals!C5))/MAX(1,SUMPRODUCT(($B$2:$B$151=TRUE())*ISNUMBER(Fundamentals!$C$2:$C$151)*(Fundamentals!$C$2:$C$151&gt;0))))))),IF(NOT(ISNUMBER(Fundamentals!E5)),50,IF(Fundamentals!E5&lt;=0,15,100*(1-(SUMPRODUCT(($B$2:$B$151=TRUE())*ISNUMBER(Fundamentals!$E$2:$E$151)*(Fundamentals!$E$2:$E$151&gt;0)*(Fundamentals!$E$2:$E$151&lt;Fundamentals!E5))/MAX(1,SUMPRODUCT(($B$2:$B$151=TRUE())*ISNUMBER(Fundamentals!$E$2:$E$151)*(Fundamentals!$E$2:$E$151&gt;0))))))))</f>
        <v>50</v>
      </c>
      <c r="D5" s="5" t="n">
        <f aca="false">AVERAGE(IF(NOT(ISNUMBER(Fundamentals!F5)),50,100*(SUMPRODUCT(($B$2:$B$151=TRUE())*ISNUMBER(Fundamentals!$F$2:$F$151)*(Fundamentals!$F$2:$F$151&lt;Fundamentals!F5))/MAX(1,SUMPRODUCT(($B$2:$B$151=TRUE())*ISNUMBER(Fundamentals!$F$2:$F$151))))),IF(NOT(ISNUMBER(Fundamentals!J5)),50,100*(SUMPRODUCT(($B$2:$B$151=TRUE())*ISNUMBER(Fundamentals!$J$2:$J$151)*(Fundamentals!$J$2:$J$151&lt;Fundamentals!J5))/MAX(1,SUMPRODUCT(($B$2:$B$151=TRUE())*ISNUMBER(Fundamentals!$J$2:$J$151))))))</f>
        <v>50</v>
      </c>
      <c r="E5" s="5" t="n">
        <f aca="false">AVERAGE(IF(NOT(ISNUMBER(Fundamentals!H5)),50,100*(SUMPRODUCT(($B$2:$B$151=TRUE())*ISNUMBER(Fundamentals!$H$2:$H$151)*(Fundamentals!$H$2:$H$151&lt;Fundamentals!H5))/MAX(1,SUMPRODUCT(($B$2:$B$151=TRUE())*ISNUMBER(Fundamentals!$H$2:$H$151))))),IF(NOT(ISNUMBER(Fundamentals!I5)),50,100*(SUMPRODUCT(($B$2:$B$151=TRUE())*ISNUMBER(Fundamentals!$I$2:$I$151)*(Fundamentals!$I$2:$I$151&lt;Fundamentals!I5))/MAX(1,SUMPRODUCT(($B$2:$B$151=TRUE())*ISNUMBER(Fundamentals!$I$2:$I$151))))))</f>
        <v>50</v>
      </c>
      <c r="F5" s="5" t="n">
        <f aca="false">IF(Tickers!C5="Financial Services",50,IF(NOT(ISNUMBER(Fundamentals!G5)),50,100*(1-(SUMPRODUCT(($B$2:$B$151=TRUE())*ISNUMBER(Fundamentals!$G$2:$G$151)*(Fundamentals!$G$2:$G$151&lt;Fundamentals!G5))/MAX(1,SUMPRODUCT(($B$2:$B$151=TRUE())*ISNUMBER(Fundamentals!$G$2:$G$151)))))))</f>
        <v>50</v>
      </c>
      <c r="G5" s="5" t="n">
        <f aca="false">AVERAGE(C5:F5)</f>
        <v>50</v>
      </c>
      <c r="H5" s="5" t="n">
        <f aca="false">MIN(100,MAX(0,IF(NOT(ISNUMBER(PriceMetrics!K5)),50,100*(SUMPRODUCT(($B$2:$B$151=TRUE())*ISNUMBER(PriceMetrics!$K$2:$K$151)*(PriceMetrics!$K$2:$K$151&lt;PriceMetrics!K5))/MAX(1,SUMPRODUCT(($B$2:$B$151=TRUE())*ISNUMBER(PriceMetrics!$K$2:$K$151)))))+IF(ISNUMBER(PriceMetrics!L5),10*PriceMetrics!L5,0)))</f>
        <v>50</v>
      </c>
      <c r="I5" s="5" t="n">
        <f aca="false">0.6*IF(NOT(ISNUMBER(PriceMetrics!P5)),50,100*(SUMPRODUCT(($B$2:$B$151=TRUE())*ISNUMBER(PriceMetrics!$P$2:$P$151)*(PriceMetrics!$P$2:$P$151&lt;PriceMetrics!P5))/MAX(1,SUMPRODUCT(($B$2:$B$151=TRUE())*ISNUMBER(PriceMetrics!$P$2:$P$151)))))+0.4*IF(NOT(ISNUMBER(PriceMetrics!H5)),50,IF(PriceMetrics!H5&gt;70,40,IF(PriceMetrics!H5&gt;=50,100,IF(PriceMetrics!H5&gt;=35,60,30))))</f>
        <v>50</v>
      </c>
      <c r="J5" s="5" t="n">
        <f aca="false">AVERAGE(IF(NOT(ISNUMBER(PriceMetrics!F5)),50,100*(1-(SUMPRODUCT(($B$2:$B$151=TRUE())*ISNUMBER(PriceMetrics!$F$2:$F$151)*(PriceMetrics!$F$2:$F$151&lt;PriceMetrics!F5))/MAX(1,SUMPRODUCT(($B$2:$B$151=TRUE())*ISNUMBER(PriceMetrics!$F$2:$F$151)))))),IF(NOT(ISNUMBER(PriceMetrics!G5)),50,100*(1-(SUMPRODUCT(($B$2:$B$151=TRUE())*ISNUMBER(PriceMetrics!$G$2:$G$151)*(ABS(PriceMetrics!$G$2:$G$151)&lt;ABS(PriceMetrics!G5)))/MAX(1,SUMPRODUCT(($B$2:$B$151=TRUE())*ISNUMBER(PriceMetrics!$G$2:$G$151)))))))</f>
        <v>50</v>
      </c>
      <c r="K5" s="5" t="n">
        <f aca="false">AVERAGE(H5:J5)</f>
        <v>50</v>
      </c>
      <c r="L5" s="8" t="n">
        <f aca="false">Macro!$B$26</f>
        <v>53.5</v>
      </c>
      <c r="M5" s="5" t="n">
        <f aca="false">Control!$B$3*100*G5/100+Control!$B$4*K5+Control!$B$5*L5</f>
        <v>50.7</v>
      </c>
      <c r="N5" s="3" t="n">
        <f aca="false">M5+ROW()/1000000</f>
        <v>50.700005</v>
      </c>
      <c r="O5" s="5" t="n">
        <f aca="false">M5-IF(AND(Tickers!D5="SMALLCAP100",Macro!$B$26&lt;40),Control!$B$11,0)</f>
        <v>50.7</v>
      </c>
      <c r="P5" s="3" t="str">
        <f aca="false">IF(B5=FALSE(),"-",IF(O5&gt;=Control!$B$7,"BUY",IF(O5&gt;=Control!$B$8,"ACCUMULATE",IF(O5&gt;=Control!$B$9,"HOLD","AVOID"))))</f>
        <v>HOLD</v>
      </c>
      <c r="Q5" s="3" t="str">
        <f aca="false">IF(B5=FALSE(),"",IF(OR(O5&gt;=72,O5&lt;=32),"High",IF(OR(O5&gt;=62,O5&lt;=42),"Medium","Low")))</f>
        <v>Low</v>
      </c>
      <c r="R5" s="12" t="n">
        <f aca="false">IF(P5="BUY",Control!$B$12,IF(P5="ACCUMULATE",Control!$B$13,0))</f>
        <v>0</v>
      </c>
      <c r="S5" s="3" t="str">
        <f aca="false">IF(B5=FALSE(),"",IF(T5=C5,"Rich valuation",IF(T5=E5,"Weak growth",IF(T5=F5,"Balance-sheet leverage",IF(T5=I5,"Negative momentum","High volatility/drawdown")))))</f>
        <v>Rich valuation</v>
      </c>
      <c r="T5" s="3" t="n">
        <f aca="false">MIN(C5,E5,F5,I5,J5)</f>
        <v>50</v>
      </c>
      <c r="U5" s="3" t="n">
        <f aca="false">IF(B5=TRUE(),N5,-1000+ROW()/1000000)</f>
        <v>50.700005</v>
      </c>
    </row>
    <row r="6" customFormat="false" ht="15" hidden="false" customHeight="false" outlineLevel="0" collapsed="false">
      <c r="A6" s="7" t="str">
        <f aca="false">Tickers!A6</f>
        <v>AUROPHARMA</v>
      </c>
      <c r="B6" s="19" t="b">
        <f aca="false">Tickers!F6</f>
        <v>1</v>
      </c>
      <c r="C6" s="5" t="n">
        <f aca="false">AVERAGE(IF(NOT(ISNUMBER(Fundamentals!C6)),50,IF(Fundamentals!C6&lt;=0,15,100*(1-(SUMPRODUCT(($B$2:$B$151=TRUE())*ISNUMBER(Fundamentals!$C$2:$C$151)*(Fundamentals!$C$2:$C$151&gt;0)*(Fundamentals!$C$2:$C$151&lt;Fundamentals!C6))/MAX(1,SUMPRODUCT(($B$2:$B$151=TRUE())*ISNUMBER(Fundamentals!$C$2:$C$151)*(Fundamentals!$C$2:$C$151&gt;0))))))),IF(NOT(ISNUMBER(Fundamentals!E6)),50,IF(Fundamentals!E6&lt;=0,15,100*(1-(SUMPRODUCT(($B$2:$B$151=TRUE())*ISNUMBER(Fundamentals!$E$2:$E$151)*(Fundamentals!$E$2:$E$151&gt;0)*(Fundamentals!$E$2:$E$151&lt;Fundamentals!E6))/MAX(1,SUMPRODUCT(($B$2:$B$151=TRUE())*ISNUMBER(Fundamentals!$E$2:$E$151)*(Fundamentals!$E$2:$E$151&gt;0))))))))</f>
        <v>50</v>
      </c>
      <c r="D6" s="5" t="n">
        <f aca="false">AVERAGE(IF(NOT(ISNUMBER(Fundamentals!F6)),50,100*(SUMPRODUCT(($B$2:$B$151=TRUE())*ISNUMBER(Fundamentals!$F$2:$F$151)*(Fundamentals!$F$2:$F$151&lt;Fundamentals!F6))/MAX(1,SUMPRODUCT(($B$2:$B$151=TRUE())*ISNUMBER(Fundamentals!$F$2:$F$151))))),IF(NOT(ISNUMBER(Fundamentals!J6)),50,100*(SUMPRODUCT(($B$2:$B$151=TRUE())*ISNUMBER(Fundamentals!$J$2:$J$151)*(Fundamentals!$J$2:$J$151&lt;Fundamentals!J6))/MAX(1,SUMPRODUCT(($B$2:$B$151=TRUE())*ISNUMBER(Fundamentals!$J$2:$J$151))))))</f>
        <v>50</v>
      </c>
      <c r="E6" s="5" t="n">
        <f aca="false">AVERAGE(IF(NOT(ISNUMBER(Fundamentals!H6)),50,100*(SUMPRODUCT(($B$2:$B$151=TRUE())*ISNUMBER(Fundamentals!$H$2:$H$151)*(Fundamentals!$H$2:$H$151&lt;Fundamentals!H6))/MAX(1,SUMPRODUCT(($B$2:$B$151=TRUE())*ISNUMBER(Fundamentals!$H$2:$H$151))))),IF(NOT(ISNUMBER(Fundamentals!I6)),50,100*(SUMPRODUCT(($B$2:$B$151=TRUE())*ISNUMBER(Fundamentals!$I$2:$I$151)*(Fundamentals!$I$2:$I$151&lt;Fundamentals!I6))/MAX(1,SUMPRODUCT(($B$2:$B$151=TRUE())*ISNUMBER(Fundamentals!$I$2:$I$151))))))</f>
        <v>50</v>
      </c>
      <c r="F6" s="5" t="n">
        <f aca="false">IF(Tickers!C6="Financial Services",50,IF(NOT(ISNUMBER(Fundamentals!G6)),50,100*(1-(SUMPRODUCT(($B$2:$B$151=TRUE())*ISNUMBER(Fundamentals!$G$2:$G$151)*(Fundamentals!$G$2:$G$151&lt;Fundamentals!G6))/MAX(1,SUMPRODUCT(($B$2:$B$151=TRUE())*ISNUMBER(Fundamentals!$G$2:$G$151)))))))</f>
        <v>50</v>
      </c>
      <c r="G6" s="5" t="n">
        <f aca="false">AVERAGE(C6:F6)</f>
        <v>50</v>
      </c>
      <c r="H6" s="5" t="n">
        <f aca="false">MIN(100,MAX(0,IF(NOT(ISNUMBER(PriceMetrics!K6)),50,100*(SUMPRODUCT(($B$2:$B$151=TRUE())*ISNUMBER(PriceMetrics!$K$2:$K$151)*(PriceMetrics!$K$2:$K$151&lt;PriceMetrics!K6))/MAX(1,SUMPRODUCT(($B$2:$B$151=TRUE())*ISNUMBER(PriceMetrics!$K$2:$K$151)))))+IF(ISNUMBER(PriceMetrics!L6),10*PriceMetrics!L6,0)))</f>
        <v>50</v>
      </c>
      <c r="I6" s="5" t="n">
        <f aca="false">0.6*IF(NOT(ISNUMBER(PriceMetrics!P6)),50,100*(SUMPRODUCT(($B$2:$B$151=TRUE())*ISNUMBER(PriceMetrics!$P$2:$P$151)*(PriceMetrics!$P$2:$P$151&lt;PriceMetrics!P6))/MAX(1,SUMPRODUCT(($B$2:$B$151=TRUE())*ISNUMBER(PriceMetrics!$P$2:$P$151)))))+0.4*IF(NOT(ISNUMBER(PriceMetrics!H6)),50,IF(PriceMetrics!H6&gt;70,40,IF(PriceMetrics!H6&gt;=50,100,IF(PriceMetrics!H6&gt;=35,60,30))))</f>
        <v>50</v>
      </c>
      <c r="J6" s="5" t="n">
        <f aca="false">AVERAGE(IF(NOT(ISNUMBER(PriceMetrics!F6)),50,100*(1-(SUMPRODUCT(($B$2:$B$151=TRUE())*ISNUMBER(PriceMetrics!$F$2:$F$151)*(PriceMetrics!$F$2:$F$151&lt;PriceMetrics!F6))/MAX(1,SUMPRODUCT(($B$2:$B$151=TRUE())*ISNUMBER(PriceMetrics!$F$2:$F$151)))))),IF(NOT(ISNUMBER(PriceMetrics!G6)),50,100*(1-(SUMPRODUCT(($B$2:$B$151=TRUE())*ISNUMBER(PriceMetrics!$G$2:$G$151)*(ABS(PriceMetrics!$G$2:$G$151)&lt;ABS(PriceMetrics!G6)))/MAX(1,SUMPRODUCT(($B$2:$B$151=TRUE())*ISNUMBER(PriceMetrics!$G$2:$G$151)))))))</f>
        <v>50</v>
      </c>
      <c r="K6" s="5" t="n">
        <f aca="false">AVERAGE(H6:J6)</f>
        <v>50</v>
      </c>
      <c r="L6" s="8" t="n">
        <f aca="false">Macro!$B$26</f>
        <v>53.5</v>
      </c>
      <c r="M6" s="5" t="n">
        <f aca="false">Control!$B$3*100*G6/100+Control!$B$4*K6+Control!$B$5*L6</f>
        <v>50.7</v>
      </c>
      <c r="N6" s="3" t="n">
        <f aca="false">M6+ROW()/1000000</f>
        <v>50.700006</v>
      </c>
      <c r="O6" s="5" t="n">
        <f aca="false">M6-IF(AND(Tickers!D6="SMALLCAP100",Macro!$B$26&lt;40),Control!$B$11,0)</f>
        <v>50.7</v>
      </c>
      <c r="P6" s="3" t="str">
        <f aca="false">IF(B6=FALSE(),"-",IF(O6&gt;=Control!$B$7,"BUY",IF(O6&gt;=Control!$B$8,"ACCUMULATE",IF(O6&gt;=Control!$B$9,"HOLD","AVOID"))))</f>
        <v>HOLD</v>
      </c>
      <c r="Q6" s="3" t="str">
        <f aca="false">IF(B6=FALSE(),"",IF(OR(O6&gt;=72,O6&lt;=32),"High",IF(OR(O6&gt;=62,O6&lt;=42),"Medium","Low")))</f>
        <v>Low</v>
      </c>
      <c r="R6" s="12" t="n">
        <f aca="false">IF(P6="BUY",Control!$B$12,IF(P6="ACCUMULATE",Control!$B$13,0))</f>
        <v>0</v>
      </c>
      <c r="S6" s="3" t="str">
        <f aca="false">IF(B6=FALSE(),"",IF(T6=C6,"Rich valuation",IF(T6=E6,"Weak growth",IF(T6=F6,"Balance-sheet leverage",IF(T6=I6,"Negative momentum","High volatility/drawdown")))))</f>
        <v>Rich valuation</v>
      </c>
      <c r="T6" s="3" t="n">
        <f aca="false">MIN(C6,E6,F6,I6,J6)</f>
        <v>50</v>
      </c>
      <c r="U6" s="3" t="n">
        <f aca="false">IF(B6=TRUE(),N6,-1000+ROW()/1000000)</f>
        <v>50.700006</v>
      </c>
    </row>
    <row r="7" customFormat="false" ht="15" hidden="false" customHeight="false" outlineLevel="0" collapsed="false">
      <c r="A7" s="7" t="str">
        <f aca="false">Tickers!A7</f>
        <v>BSE</v>
      </c>
      <c r="B7" s="19" t="b">
        <f aca="false">Tickers!F7</f>
        <v>1</v>
      </c>
      <c r="C7" s="5" t="n">
        <f aca="false">AVERAGE(IF(NOT(ISNUMBER(Fundamentals!C7)),50,IF(Fundamentals!C7&lt;=0,15,100*(1-(SUMPRODUCT(($B$2:$B$151=TRUE())*ISNUMBER(Fundamentals!$C$2:$C$151)*(Fundamentals!$C$2:$C$151&gt;0)*(Fundamentals!$C$2:$C$151&lt;Fundamentals!C7))/MAX(1,SUMPRODUCT(($B$2:$B$151=TRUE())*ISNUMBER(Fundamentals!$C$2:$C$151)*(Fundamentals!$C$2:$C$151&gt;0))))))),IF(NOT(ISNUMBER(Fundamentals!E7)),50,IF(Fundamentals!E7&lt;=0,15,100*(1-(SUMPRODUCT(($B$2:$B$151=TRUE())*ISNUMBER(Fundamentals!$E$2:$E$151)*(Fundamentals!$E$2:$E$151&gt;0)*(Fundamentals!$E$2:$E$151&lt;Fundamentals!E7))/MAX(1,SUMPRODUCT(($B$2:$B$151=TRUE())*ISNUMBER(Fundamentals!$E$2:$E$151)*(Fundamentals!$E$2:$E$151&gt;0))))))))</f>
        <v>50</v>
      </c>
      <c r="D7" s="5" t="n">
        <f aca="false">AVERAGE(IF(NOT(ISNUMBER(Fundamentals!F7)),50,100*(SUMPRODUCT(($B$2:$B$151=TRUE())*ISNUMBER(Fundamentals!$F$2:$F$151)*(Fundamentals!$F$2:$F$151&lt;Fundamentals!F7))/MAX(1,SUMPRODUCT(($B$2:$B$151=TRUE())*ISNUMBER(Fundamentals!$F$2:$F$151))))),IF(NOT(ISNUMBER(Fundamentals!J7)),50,100*(SUMPRODUCT(($B$2:$B$151=TRUE())*ISNUMBER(Fundamentals!$J$2:$J$151)*(Fundamentals!$J$2:$J$151&lt;Fundamentals!J7))/MAX(1,SUMPRODUCT(($B$2:$B$151=TRUE())*ISNUMBER(Fundamentals!$J$2:$J$151))))))</f>
        <v>50</v>
      </c>
      <c r="E7" s="5" t="n">
        <f aca="false">AVERAGE(IF(NOT(ISNUMBER(Fundamentals!H7)),50,100*(SUMPRODUCT(($B$2:$B$151=TRUE())*ISNUMBER(Fundamentals!$H$2:$H$151)*(Fundamentals!$H$2:$H$151&lt;Fundamentals!H7))/MAX(1,SUMPRODUCT(($B$2:$B$151=TRUE())*ISNUMBER(Fundamentals!$H$2:$H$151))))),IF(NOT(ISNUMBER(Fundamentals!I7)),50,100*(SUMPRODUCT(($B$2:$B$151=TRUE())*ISNUMBER(Fundamentals!$I$2:$I$151)*(Fundamentals!$I$2:$I$151&lt;Fundamentals!I7))/MAX(1,SUMPRODUCT(($B$2:$B$151=TRUE())*ISNUMBER(Fundamentals!$I$2:$I$151))))))</f>
        <v>50</v>
      </c>
      <c r="F7" s="5" t="n">
        <f aca="false">IF(Tickers!C7="Financial Services",50,IF(NOT(ISNUMBER(Fundamentals!G7)),50,100*(1-(SUMPRODUCT(($B$2:$B$151=TRUE())*ISNUMBER(Fundamentals!$G$2:$G$151)*(Fundamentals!$G$2:$G$151&lt;Fundamentals!G7))/MAX(1,SUMPRODUCT(($B$2:$B$151=TRUE())*ISNUMBER(Fundamentals!$G$2:$G$151)))))))</f>
        <v>50</v>
      </c>
      <c r="G7" s="5" t="n">
        <f aca="false">AVERAGE(C7:F7)</f>
        <v>50</v>
      </c>
      <c r="H7" s="5" t="n">
        <f aca="false">MIN(100,MAX(0,IF(NOT(ISNUMBER(PriceMetrics!K7)),50,100*(SUMPRODUCT(($B$2:$B$151=TRUE())*ISNUMBER(PriceMetrics!$K$2:$K$151)*(PriceMetrics!$K$2:$K$151&lt;PriceMetrics!K7))/MAX(1,SUMPRODUCT(($B$2:$B$151=TRUE())*ISNUMBER(PriceMetrics!$K$2:$K$151)))))+IF(ISNUMBER(PriceMetrics!L7),10*PriceMetrics!L7,0)))</f>
        <v>50</v>
      </c>
      <c r="I7" s="5" t="n">
        <f aca="false">0.6*IF(NOT(ISNUMBER(PriceMetrics!P7)),50,100*(SUMPRODUCT(($B$2:$B$151=TRUE())*ISNUMBER(PriceMetrics!$P$2:$P$151)*(PriceMetrics!$P$2:$P$151&lt;PriceMetrics!P7))/MAX(1,SUMPRODUCT(($B$2:$B$151=TRUE())*ISNUMBER(PriceMetrics!$P$2:$P$151)))))+0.4*IF(NOT(ISNUMBER(PriceMetrics!H7)),50,IF(PriceMetrics!H7&gt;70,40,IF(PriceMetrics!H7&gt;=50,100,IF(PriceMetrics!H7&gt;=35,60,30))))</f>
        <v>50</v>
      </c>
      <c r="J7" s="5" t="n">
        <f aca="false">AVERAGE(IF(NOT(ISNUMBER(PriceMetrics!F7)),50,100*(1-(SUMPRODUCT(($B$2:$B$151=TRUE())*ISNUMBER(PriceMetrics!$F$2:$F$151)*(PriceMetrics!$F$2:$F$151&lt;PriceMetrics!F7))/MAX(1,SUMPRODUCT(($B$2:$B$151=TRUE())*ISNUMBER(PriceMetrics!$F$2:$F$151)))))),IF(NOT(ISNUMBER(PriceMetrics!G7)),50,100*(1-(SUMPRODUCT(($B$2:$B$151=TRUE())*ISNUMBER(PriceMetrics!$G$2:$G$151)*(ABS(PriceMetrics!$G$2:$G$151)&lt;ABS(PriceMetrics!G7)))/MAX(1,SUMPRODUCT(($B$2:$B$151=TRUE())*ISNUMBER(PriceMetrics!$G$2:$G$151)))))))</f>
        <v>50</v>
      </c>
      <c r="K7" s="5" t="n">
        <f aca="false">AVERAGE(H7:J7)</f>
        <v>50</v>
      </c>
      <c r="L7" s="8" t="n">
        <f aca="false">Macro!$B$26</f>
        <v>53.5</v>
      </c>
      <c r="M7" s="5" t="n">
        <f aca="false">Control!$B$3*100*G7/100+Control!$B$4*K7+Control!$B$5*L7</f>
        <v>50.7</v>
      </c>
      <c r="N7" s="3" t="n">
        <f aca="false">M7+ROW()/1000000</f>
        <v>50.700007</v>
      </c>
      <c r="O7" s="5" t="n">
        <f aca="false">M7-IF(AND(Tickers!D7="SMALLCAP100",Macro!$B$26&lt;40),Control!$B$11,0)</f>
        <v>50.7</v>
      </c>
      <c r="P7" s="3" t="str">
        <f aca="false">IF(B7=FALSE(),"-",IF(O7&gt;=Control!$B$7,"BUY",IF(O7&gt;=Control!$B$8,"ACCUMULATE",IF(O7&gt;=Control!$B$9,"HOLD","AVOID"))))</f>
        <v>HOLD</v>
      </c>
      <c r="Q7" s="3" t="str">
        <f aca="false">IF(B7=FALSE(),"",IF(OR(O7&gt;=72,O7&lt;=32),"High",IF(OR(O7&gt;=62,O7&lt;=42),"Medium","Low")))</f>
        <v>Low</v>
      </c>
      <c r="R7" s="12" t="n">
        <f aca="false">IF(P7="BUY",Control!$B$12,IF(P7="ACCUMULATE",Control!$B$13,0))</f>
        <v>0</v>
      </c>
      <c r="S7" s="3" t="str">
        <f aca="false">IF(B7=FALSE(),"",IF(T7=C7,"Rich valuation",IF(T7=E7,"Weak growth",IF(T7=F7,"Balance-sheet leverage",IF(T7=I7,"Negative momentum","High volatility/drawdown")))))</f>
        <v>Rich valuation</v>
      </c>
      <c r="T7" s="3" t="n">
        <f aca="false">MIN(C7,E7,F7,I7,J7)</f>
        <v>50</v>
      </c>
      <c r="U7" s="3" t="n">
        <f aca="false">IF(B7=TRUE(),N7,-1000+ROW()/1000000)</f>
        <v>50.700007</v>
      </c>
    </row>
    <row r="8" customFormat="false" ht="15" hidden="false" customHeight="false" outlineLevel="0" collapsed="false">
      <c r="A8" s="7" t="str">
        <f aca="false">Tickers!A8</f>
        <v>BHARATFORG</v>
      </c>
      <c r="B8" s="19" t="b">
        <f aca="false">Tickers!F8</f>
        <v>1</v>
      </c>
      <c r="C8" s="5" t="n">
        <f aca="false">AVERAGE(IF(NOT(ISNUMBER(Fundamentals!C8)),50,IF(Fundamentals!C8&lt;=0,15,100*(1-(SUMPRODUCT(($B$2:$B$151=TRUE())*ISNUMBER(Fundamentals!$C$2:$C$151)*(Fundamentals!$C$2:$C$151&gt;0)*(Fundamentals!$C$2:$C$151&lt;Fundamentals!C8))/MAX(1,SUMPRODUCT(($B$2:$B$151=TRUE())*ISNUMBER(Fundamentals!$C$2:$C$151)*(Fundamentals!$C$2:$C$151&gt;0))))))),IF(NOT(ISNUMBER(Fundamentals!E8)),50,IF(Fundamentals!E8&lt;=0,15,100*(1-(SUMPRODUCT(($B$2:$B$151=TRUE())*ISNUMBER(Fundamentals!$E$2:$E$151)*(Fundamentals!$E$2:$E$151&gt;0)*(Fundamentals!$E$2:$E$151&lt;Fundamentals!E8))/MAX(1,SUMPRODUCT(($B$2:$B$151=TRUE())*ISNUMBER(Fundamentals!$E$2:$E$151)*(Fundamentals!$E$2:$E$151&gt;0))))))))</f>
        <v>50</v>
      </c>
      <c r="D8" s="5" t="n">
        <f aca="false">AVERAGE(IF(NOT(ISNUMBER(Fundamentals!F8)),50,100*(SUMPRODUCT(($B$2:$B$151=TRUE())*ISNUMBER(Fundamentals!$F$2:$F$151)*(Fundamentals!$F$2:$F$151&lt;Fundamentals!F8))/MAX(1,SUMPRODUCT(($B$2:$B$151=TRUE())*ISNUMBER(Fundamentals!$F$2:$F$151))))),IF(NOT(ISNUMBER(Fundamentals!J8)),50,100*(SUMPRODUCT(($B$2:$B$151=TRUE())*ISNUMBER(Fundamentals!$J$2:$J$151)*(Fundamentals!$J$2:$J$151&lt;Fundamentals!J8))/MAX(1,SUMPRODUCT(($B$2:$B$151=TRUE())*ISNUMBER(Fundamentals!$J$2:$J$151))))))</f>
        <v>50</v>
      </c>
      <c r="E8" s="5" t="n">
        <f aca="false">AVERAGE(IF(NOT(ISNUMBER(Fundamentals!H8)),50,100*(SUMPRODUCT(($B$2:$B$151=TRUE())*ISNUMBER(Fundamentals!$H$2:$H$151)*(Fundamentals!$H$2:$H$151&lt;Fundamentals!H8))/MAX(1,SUMPRODUCT(($B$2:$B$151=TRUE())*ISNUMBER(Fundamentals!$H$2:$H$151))))),IF(NOT(ISNUMBER(Fundamentals!I8)),50,100*(SUMPRODUCT(($B$2:$B$151=TRUE())*ISNUMBER(Fundamentals!$I$2:$I$151)*(Fundamentals!$I$2:$I$151&lt;Fundamentals!I8))/MAX(1,SUMPRODUCT(($B$2:$B$151=TRUE())*ISNUMBER(Fundamentals!$I$2:$I$151))))))</f>
        <v>50</v>
      </c>
      <c r="F8" s="5" t="n">
        <f aca="false">IF(Tickers!C8="Financial Services",50,IF(NOT(ISNUMBER(Fundamentals!G8)),50,100*(1-(SUMPRODUCT(($B$2:$B$151=TRUE())*ISNUMBER(Fundamentals!$G$2:$G$151)*(Fundamentals!$G$2:$G$151&lt;Fundamentals!G8))/MAX(1,SUMPRODUCT(($B$2:$B$151=TRUE())*ISNUMBER(Fundamentals!$G$2:$G$151)))))))</f>
        <v>50</v>
      </c>
      <c r="G8" s="5" t="n">
        <f aca="false">AVERAGE(C8:F8)</f>
        <v>50</v>
      </c>
      <c r="H8" s="5" t="n">
        <f aca="false">MIN(100,MAX(0,IF(NOT(ISNUMBER(PriceMetrics!K8)),50,100*(SUMPRODUCT(($B$2:$B$151=TRUE())*ISNUMBER(PriceMetrics!$K$2:$K$151)*(PriceMetrics!$K$2:$K$151&lt;PriceMetrics!K8))/MAX(1,SUMPRODUCT(($B$2:$B$151=TRUE())*ISNUMBER(PriceMetrics!$K$2:$K$151)))))+IF(ISNUMBER(PriceMetrics!L8),10*PriceMetrics!L8,0)))</f>
        <v>50</v>
      </c>
      <c r="I8" s="5" t="n">
        <f aca="false">0.6*IF(NOT(ISNUMBER(PriceMetrics!P8)),50,100*(SUMPRODUCT(($B$2:$B$151=TRUE())*ISNUMBER(PriceMetrics!$P$2:$P$151)*(PriceMetrics!$P$2:$P$151&lt;PriceMetrics!P8))/MAX(1,SUMPRODUCT(($B$2:$B$151=TRUE())*ISNUMBER(PriceMetrics!$P$2:$P$151)))))+0.4*IF(NOT(ISNUMBER(PriceMetrics!H8)),50,IF(PriceMetrics!H8&gt;70,40,IF(PriceMetrics!H8&gt;=50,100,IF(PriceMetrics!H8&gt;=35,60,30))))</f>
        <v>50</v>
      </c>
      <c r="J8" s="5" t="n">
        <f aca="false">AVERAGE(IF(NOT(ISNUMBER(PriceMetrics!F8)),50,100*(1-(SUMPRODUCT(($B$2:$B$151=TRUE())*ISNUMBER(PriceMetrics!$F$2:$F$151)*(PriceMetrics!$F$2:$F$151&lt;PriceMetrics!F8))/MAX(1,SUMPRODUCT(($B$2:$B$151=TRUE())*ISNUMBER(PriceMetrics!$F$2:$F$151)))))),IF(NOT(ISNUMBER(PriceMetrics!G8)),50,100*(1-(SUMPRODUCT(($B$2:$B$151=TRUE())*ISNUMBER(PriceMetrics!$G$2:$G$151)*(ABS(PriceMetrics!$G$2:$G$151)&lt;ABS(PriceMetrics!G8)))/MAX(1,SUMPRODUCT(($B$2:$B$151=TRUE())*ISNUMBER(PriceMetrics!$G$2:$G$151)))))))</f>
        <v>50</v>
      </c>
      <c r="K8" s="5" t="n">
        <f aca="false">AVERAGE(H8:J8)</f>
        <v>50</v>
      </c>
      <c r="L8" s="8" t="n">
        <f aca="false">Macro!$B$26</f>
        <v>53.5</v>
      </c>
      <c r="M8" s="5" t="n">
        <f aca="false">Control!$B$3*100*G8/100+Control!$B$4*K8+Control!$B$5*L8</f>
        <v>50.7</v>
      </c>
      <c r="N8" s="3" t="n">
        <f aca="false">M8+ROW()/1000000</f>
        <v>50.700008</v>
      </c>
      <c r="O8" s="5" t="n">
        <f aca="false">M8-IF(AND(Tickers!D8="SMALLCAP100",Macro!$B$26&lt;40),Control!$B$11,0)</f>
        <v>50.7</v>
      </c>
      <c r="P8" s="3" t="str">
        <f aca="false">IF(B8=FALSE(),"-",IF(O8&gt;=Control!$B$7,"BUY",IF(O8&gt;=Control!$B$8,"ACCUMULATE",IF(O8&gt;=Control!$B$9,"HOLD","AVOID"))))</f>
        <v>HOLD</v>
      </c>
      <c r="Q8" s="3" t="str">
        <f aca="false">IF(B8=FALSE(),"",IF(OR(O8&gt;=72,O8&lt;=32),"High",IF(OR(O8&gt;=62,O8&lt;=42),"Medium","Low")))</f>
        <v>Low</v>
      </c>
      <c r="R8" s="12" t="n">
        <f aca="false">IF(P8="BUY",Control!$B$12,IF(P8="ACCUMULATE",Control!$B$13,0))</f>
        <v>0</v>
      </c>
      <c r="S8" s="3" t="str">
        <f aca="false">IF(B8=FALSE(),"",IF(T8=C8,"Rich valuation",IF(T8=E8,"Weak growth",IF(T8=F8,"Balance-sheet leverage",IF(T8=I8,"Negative momentum","High volatility/drawdown")))))</f>
        <v>Rich valuation</v>
      </c>
      <c r="T8" s="3" t="n">
        <f aca="false">MIN(C8,E8,F8,I8,J8)</f>
        <v>50</v>
      </c>
      <c r="U8" s="3" t="n">
        <f aca="false">IF(B8=TRUE(),N8,-1000+ROW()/1000000)</f>
        <v>50.700008</v>
      </c>
    </row>
    <row r="9" customFormat="false" ht="15" hidden="false" customHeight="false" outlineLevel="0" collapsed="false">
      <c r="A9" s="7" t="str">
        <f aca="false">Tickers!A9</f>
        <v>BHEL</v>
      </c>
      <c r="B9" s="19" t="b">
        <f aca="false">Tickers!F9</f>
        <v>1</v>
      </c>
      <c r="C9" s="5" t="n">
        <f aca="false">AVERAGE(IF(NOT(ISNUMBER(Fundamentals!C9)),50,IF(Fundamentals!C9&lt;=0,15,100*(1-(SUMPRODUCT(($B$2:$B$151=TRUE())*ISNUMBER(Fundamentals!$C$2:$C$151)*(Fundamentals!$C$2:$C$151&gt;0)*(Fundamentals!$C$2:$C$151&lt;Fundamentals!C9))/MAX(1,SUMPRODUCT(($B$2:$B$151=TRUE())*ISNUMBER(Fundamentals!$C$2:$C$151)*(Fundamentals!$C$2:$C$151&gt;0))))))),IF(NOT(ISNUMBER(Fundamentals!E9)),50,IF(Fundamentals!E9&lt;=0,15,100*(1-(SUMPRODUCT(($B$2:$B$151=TRUE())*ISNUMBER(Fundamentals!$E$2:$E$151)*(Fundamentals!$E$2:$E$151&gt;0)*(Fundamentals!$E$2:$E$151&lt;Fundamentals!E9))/MAX(1,SUMPRODUCT(($B$2:$B$151=TRUE())*ISNUMBER(Fundamentals!$E$2:$E$151)*(Fundamentals!$E$2:$E$151&gt;0))))))))</f>
        <v>50</v>
      </c>
      <c r="D9" s="5" t="n">
        <f aca="false">AVERAGE(IF(NOT(ISNUMBER(Fundamentals!F9)),50,100*(SUMPRODUCT(($B$2:$B$151=TRUE())*ISNUMBER(Fundamentals!$F$2:$F$151)*(Fundamentals!$F$2:$F$151&lt;Fundamentals!F9))/MAX(1,SUMPRODUCT(($B$2:$B$151=TRUE())*ISNUMBER(Fundamentals!$F$2:$F$151))))),IF(NOT(ISNUMBER(Fundamentals!J9)),50,100*(SUMPRODUCT(($B$2:$B$151=TRUE())*ISNUMBER(Fundamentals!$J$2:$J$151)*(Fundamentals!$J$2:$J$151&lt;Fundamentals!J9))/MAX(1,SUMPRODUCT(($B$2:$B$151=TRUE())*ISNUMBER(Fundamentals!$J$2:$J$151))))))</f>
        <v>50</v>
      </c>
      <c r="E9" s="5" t="n">
        <f aca="false">AVERAGE(IF(NOT(ISNUMBER(Fundamentals!H9)),50,100*(SUMPRODUCT(($B$2:$B$151=TRUE())*ISNUMBER(Fundamentals!$H$2:$H$151)*(Fundamentals!$H$2:$H$151&lt;Fundamentals!H9))/MAX(1,SUMPRODUCT(($B$2:$B$151=TRUE())*ISNUMBER(Fundamentals!$H$2:$H$151))))),IF(NOT(ISNUMBER(Fundamentals!I9)),50,100*(SUMPRODUCT(($B$2:$B$151=TRUE())*ISNUMBER(Fundamentals!$I$2:$I$151)*(Fundamentals!$I$2:$I$151&lt;Fundamentals!I9))/MAX(1,SUMPRODUCT(($B$2:$B$151=TRUE())*ISNUMBER(Fundamentals!$I$2:$I$151))))))</f>
        <v>50</v>
      </c>
      <c r="F9" s="5" t="n">
        <f aca="false">IF(Tickers!C9="Financial Services",50,IF(NOT(ISNUMBER(Fundamentals!G9)),50,100*(1-(SUMPRODUCT(($B$2:$B$151=TRUE())*ISNUMBER(Fundamentals!$G$2:$G$151)*(Fundamentals!$G$2:$G$151&lt;Fundamentals!G9))/MAX(1,SUMPRODUCT(($B$2:$B$151=TRUE())*ISNUMBER(Fundamentals!$G$2:$G$151)))))))</f>
        <v>50</v>
      </c>
      <c r="G9" s="5" t="n">
        <f aca="false">AVERAGE(C9:F9)</f>
        <v>50</v>
      </c>
      <c r="H9" s="5" t="n">
        <f aca="false">MIN(100,MAX(0,IF(NOT(ISNUMBER(PriceMetrics!K9)),50,100*(SUMPRODUCT(($B$2:$B$151=TRUE())*ISNUMBER(PriceMetrics!$K$2:$K$151)*(PriceMetrics!$K$2:$K$151&lt;PriceMetrics!K9))/MAX(1,SUMPRODUCT(($B$2:$B$151=TRUE())*ISNUMBER(PriceMetrics!$K$2:$K$151)))))+IF(ISNUMBER(PriceMetrics!L9),10*PriceMetrics!L9,0)))</f>
        <v>50</v>
      </c>
      <c r="I9" s="5" t="n">
        <f aca="false">0.6*IF(NOT(ISNUMBER(PriceMetrics!P9)),50,100*(SUMPRODUCT(($B$2:$B$151=TRUE())*ISNUMBER(PriceMetrics!$P$2:$P$151)*(PriceMetrics!$P$2:$P$151&lt;PriceMetrics!P9))/MAX(1,SUMPRODUCT(($B$2:$B$151=TRUE())*ISNUMBER(PriceMetrics!$P$2:$P$151)))))+0.4*IF(NOT(ISNUMBER(PriceMetrics!H9)),50,IF(PriceMetrics!H9&gt;70,40,IF(PriceMetrics!H9&gt;=50,100,IF(PriceMetrics!H9&gt;=35,60,30))))</f>
        <v>50</v>
      </c>
      <c r="J9" s="5" t="n">
        <f aca="false">AVERAGE(IF(NOT(ISNUMBER(PriceMetrics!F9)),50,100*(1-(SUMPRODUCT(($B$2:$B$151=TRUE())*ISNUMBER(PriceMetrics!$F$2:$F$151)*(PriceMetrics!$F$2:$F$151&lt;PriceMetrics!F9))/MAX(1,SUMPRODUCT(($B$2:$B$151=TRUE())*ISNUMBER(PriceMetrics!$F$2:$F$151)))))),IF(NOT(ISNUMBER(PriceMetrics!G9)),50,100*(1-(SUMPRODUCT(($B$2:$B$151=TRUE())*ISNUMBER(PriceMetrics!$G$2:$G$151)*(ABS(PriceMetrics!$G$2:$G$151)&lt;ABS(PriceMetrics!G9)))/MAX(1,SUMPRODUCT(($B$2:$B$151=TRUE())*ISNUMBER(PriceMetrics!$G$2:$G$151)))))))</f>
        <v>50</v>
      </c>
      <c r="K9" s="5" t="n">
        <f aca="false">AVERAGE(H9:J9)</f>
        <v>50</v>
      </c>
      <c r="L9" s="8" t="n">
        <f aca="false">Macro!$B$26</f>
        <v>53.5</v>
      </c>
      <c r="M9" s="5" t="n">
        <f aca="false">Control!$B$3*100*G9/100+Control!$B$4*K9+Control!$B$5*L9</f>
        <v>50.7</v>
      </c>
      <c r="N9" s="3" t="n">
        <f aca="false">M9+ROW()/1000000</f>
        <v>50.700009</v>
      </c>
      <c r="O9" s="5" t="n">
        <f aca="false">M9-IF(AND(Tickers!D9="SMALLCAP100",Macro!$B$26&lt;40),Control!$B$11,0)</f>
        <v>50.7</v>
      </c>
      <c r="P9" s="3" t="str">
        <f aca="false">IF(B9=FALSE(),"-",IF(O9&gt;=Control!$B$7,"BUY",IF(O9&gt;=Control!$B$8,"ACCUMULATE",IF(O9&gt;=Control!$B$9,"HOLD","AVOID"))))</f>
        <v>HOLD</v>
      </c>
      <c r="Q9" s="3" t="str">
        <f aca="false">IF(B9=FALSE(),"",IF(OR(O9&gt;=72,O9&lt;=32),"High",IF(OR(O9&gt;=62,O9&lt;=42),"Medium","Low")))</f>
        <v>Low</v>
      </c>
      <c r="R9" s="12" t="n">
        <f aca="false">IF(P9="BUY",Control!$B$12,IF(P9="ACCUMULATE",Control!$B$13,0))</f>
        <v>0</v>
      </c>
      <c r="S9" s="3" t="str">
        <f aca="false">IF(B9=FALSE(),"",IF(T9=C9,"Rich valuation",IF(T9=E9,"Weak growth",IF(T9=F9,"Balance-sheet leverage",IF(T9=I9,"Negative momentum","High volatility/drawdown")))))</f>
        <v>Rich valuation</v>
      </c>
      <c r="T9" s="3" t="n">
        <f aca="false">MIN(C9,E9,F9,I9,J9)</f>
        <v>50</v>
      </c>
      <c r="U9" s="3" t="n">
        <f aca="false">IF(B9=TRUE(),N9,-1000+ROW()/1000000)</f>
        <v>50.700009</v>
      </c>
    </row>
    <row r="10" customFormat="false" ht="15" hidden="false" customHeight="false" outlineLevel="0" collapsed="false">
      <c r="A10" s="7" t="str">
        <f aca="false">Tickers!A10</f>
        <v>COFORGE</v>
      </c>
      <c r="B10" s="19" t="b">
        <f aca="false">Tickers!F10</f>
        <v>1</v>
      </c>
      <c r="C10" s="5" t="n">
        <f aca="false">AVERAGE(IF(NOT(ISNUMBER(Fundamentals!C10)),50,IF(Fundamentals!C10&lt;=0,15,100*(1-(SUMPRODUCT(($B$2:$B$151=TRUE())*ISNUMBER(Fundamentals!$C$2:$C$151)*(Fundamentals!$C$2:$C$151&gt;0)*(Fundamentals!$C$2:$C$151&lt;Fundamentals!C10))/MAX(1,SUMPRODUCT(($B$2:$B$151=TRUE())*ISNUMBER(Fundamentals!$C$2:$C$151)*(Fundamentals!$C$2:$C$151&gt;0))))))),IF(NOT(ISNUMBER(Fundamentals!E10)),50,IF(Fundamentals!E10&lt;=0,15,100*(1-(SUMPRODUCT(($B$2:$B$151=TRUE())*ISNUMBER(Fundamentals!$E$2:$E$151)*(Fundamentals!$E$2:$E$151&gt;0)*(Fundamentals!$E$2:$E$151&lt;Fundamentals!E10))/MAX(1,SUMPRODUCT(($B$2:$B$151=TRUE())*ISNUMBER(Fundamentals!$E$2:$E$151)*(Fundamentals!$E$2:$E$151&gt;0))))))))</f>
        <v>50</v>
      </c>
      <c r="D10" s="5" t="n">
        <f aca="false">AVERAGE(IF(NOT(ISNUMBER(Fundamentals!F10)),50,100*(SUMPRODUCT(($B$2:$B$151=TRUE())*ISNUMBER(Fundamentals!$F$2:$F$151)*(Fundamentals!$F$2:$F$151&lt;Fundamentals!F10))/MAX(1,SUMPRODUCT(($B$2:$B$151=TRUE())*ISNUMBER(Fundamentals!$F$2:$F$151))))),IF(NOT(ISNUMBER(Fundamentals!J10)),50,100*(SUMPRODUCT(($B$2:$B$151=TRUE())*ISNUMBER(Fundamentals!$J$2:$J$151)*(Fundamentals!$J$2:$J$151&lt;Fundamentals!J10))/MAX(1,SUMPRODUCT(($B$2:$B$151=TRUE())*ISNUMBER(Fundamentals!$J$2:$J$151))))))</f>
        <v>50</v>
      </c>
      <c r="E10" s="5" t="n">
        <f aca="false">AVERAGE(IF(NOT(ISNUMBER(Fundamentals!H10)),50,100*(SUMPRODUCT(($B$2:$B$151=TRUE())*ISNUMBER(Fundamentals!$H$2:$H$151)*(Fundamentals!$H$2:$H$151&lt;Fundamentals!H10))/MAX(1,SUMPRODUCT(($B$2:$B$151=TRUE())*ISNUMBER(Fundamentals!$H$2:$H$151))))),IF(NOT(ISNUMBER(Fundamentals!I10)),50,100*(SUMPRODUCT(($B$2:$B$151=TRUE())*ISNUMBER(Fundamentals!$I$2:$I$151)*(Fundamentals!$I$2:$I$151&lt;Fundamentals!I10))/MAX(1,SUMPRODUCT(($B$2:$B$151=TRUE())*ISNUMBER(Fundamentals!$I$2:$I$151))))))</f>
        <v>50</v>
      </c>
      <c r="F10" s="5" t="n">
        <f aca="false">IF(Tickers!C10="Financial Services",50,IF(NOT(ISNUMBER(Fundamentals!G10)),50,100*(1-(SUMPRODUCT(($B$2:$B$151=TRUE())*ISNUMBER(Fundamentals!$G$2:$G$151)*(Fundamentals!$G$2:$G$151&lt;Fundamentals!G10))/MAX(1,SUMPRODUCT(($B$2:$B$151=TRUE())*ISNUMBER(Fundamentals!$G$2:$G$151)))))))</f>
        <v>50</v>
      </c>
      <c r="G10" s="5" t="n">
        <f aca="false">AVERAGE(C10:F10)</f>
        <v>50</v>
      </c>
      <c r="H10" s="5" t="n">
        <f aca="false">MIN(100,MAX(0,IF(NOT(ISNUMBER(PriceMetrics!K10)),50,100*(SUMPRODUCT(($B$2:$B$151=TRUE())*ISNUMBER(PriceMetrics!$K$2:$K$151)*(PriceMetrics!$K$2:$K$151&lt;PriceMetrics!K10))/MAX(1,SUMPRODUCT(($B$2:$B$151=TRUE())*ISNUMBER(PriceMetrics!$K$2:$K$151)))))+IF(ISNUMBER(PriceMetrics!L10),10*PriceMetrics!L10,0)))</f>
        <v>50</v>
      </c>
      <c r="I10" s="5" t="n">
        <f aca="false">0.6*IF(NOT(ISNUMBER(PriceMetrics!P10)),50,100*(SUMPRODUCT(($B$2:$B$151=TRUE())*ISNUMBER(PriceMetrics!$P$2:$P$151)*(PriceMetrics!$P$2:$P$151&lt;PriceMetrics!P10))/MAX(1,SUMPRODUCT(($B$2:$B$151=TRUE())*ISNUMBER(PriceMetrics!$P$2:$P$151)))))+0.4*IF(NOT(ISNUMBER(PriceMetrics!H10)),50,IF(PriceMetrics!H10&gt;70,40,IF(PriceMetrics!H10&gt;=50,100,IF(PriceMetrics!H10&gt;=35,60,30))))</f>
        <v>50</v>
      </c>
      <c r="J10" s="5" t="n">
        <f aca="false">AVERAGE(IF(NOT(ISNUMBER(PriceMetrics!F10)),50,100*(1-(SUMPRODUCT(($B$2:$B$151=TRUE())*ISNUMBER(PriceMetrics!$F$2:$F$151)*(PriceMetrics!$F$2:$F$151&lt;PriceMetrics!F10))/MAX(1,SUMPRODUCT(($B$2:$B$151=TRUE())*ISNUMBER(PriceMetrics!$F$2:$F$151)))))),IF(NOT(ISNUMBER(PriceMetrics!G10)),50,100*(1-(SUMPRODUCT(($B$2:$B$151=TRUE())*ISNUMBER(PriceMetrics!$G$2:$G$151)*(ABS(PriceMetrics!$G$2:$G$151)&lt;ABS(PriceMetrics!G10)))/MAX(1,SUMPRODUCT(($B$2:$B$151=TRUE())*ISNUMBER(PriceMetrics!$G$2:$G$151)))))))</f>
        <v>50</v>
      </c>
      <c r="K10" s="5" t="n">
        <f aca="false">AVERAGE(H10:J10)</f>
        <v>50</v>
      </c>
      <c r="L10" s="8" t="n">
        <f aca="false">Macro!$B$26</f>
        <v>53.5</v>
      </c>
      <c r="M10" s="5" t="n">
        <f aca="false">Control!$B$3*100*G10/100+Control!$B$4*K10+Control!$B$5*L10</f>
        <v>50.7</v>
      </c>
      <c r="N10" s="3" t="n">
        <f aca="false">M10+ROW()/1000000</f>
        <v>50.70001</v>
      </c>
      <c r="O10" s="5" t="n">
        <f aca="false">M10-IF(AND(Tickers!D10="SMALLCAP100",Macro!$B$26&lt;40),Control!$B$11,0)</f>
        <v>50.7</v>
      </c>
      <c r="P10" s="3" t="str">
        <f aca="false">IF(B10=FALSE(),"-",IF(O10&gt;=Control!$B$7,"BUY",IF(O10&gt;=Control!$B$8,"ACCUMULATE",IF(O10&gt;=Control!$B$9,"HOLD","AVOID"))))</f>
        <v>HOLD</v>
      </c>
      <c r="Q10" s="3" t="str">
        <f aca="false">IF(B10=FALSE(),"",IF(OR(O10&gt;=72,O10&lt;=32),"High",IF(OR(O10&gt;=62,O10&lt;=42),"Medium","Low")))</f>
        <v>Low</v>
      </c>
      <c r="R10" s="12" t="n">
        <f aca="false">IF(P10="BUY",Control!$B$12,IF(P10="ACCUMULATE",Control!$B$13,0))</f>
        <v>0</v>
      </c>
      <c r="S10" s="3" t="str">
        <f aca="false">IF(B10=FALSE(),"",IF(T10=C10,"Rich valuation",IF(T10=E10,"Weak growth",IF(T10=F10,"Balance-sheet leverage",IF(T10=I10,"Negative momentum","High volatility/drawdown")))))</f>
        <v>Rich valuation</v>
      </c>
      <c r="T10" s="3" t="n">
        <f aca="false">MIN(C10,E10,F10,I10,J10)</f>
        <v>50</v>
      </c>
      <c r="U10" s="3" t="n">
        <f aca="false">IF(B10=TRUE(),N10,-1000+ROW()/1000000)</f>
        <v>50.70001</v>
      </c>
    </row>
    <row r="11" customFormat="false" ht="15" hidden="false" customHeight="false" outlineLevel="0" collapsed="false">
      <c r="A11" s="7" t="str">
        <f aca="false">Tickers!A11</f>
        <v>COLPAL</v>
      </c>
      <c r="B11" s="19" t="b">
        <f aca="false">Tickers!F11</f>
        <v>1</v>
      </c>
      <c r="C11" s="5" t="n">
        <f aca="false">AVERAGE(IF(NOT(ISNUMBER(Fundamentals!C11)),50,IF(Fundamentals!C11&lt;=0,15,100*(1-(SUMPRODUCT(($B$2:$B$151=TRUE())*ISNUMBER(Fundamentals!$C$2:$C$151)*(Fundamentals!$C$2:$C$151&gt;0)*(Fundamentals!$C$2:$C$151&lt;Fundamentals!C11))/MAX(1,SUMPRODUCT(($B$2:$B$151=TRUE())*ISNUMBER(Fundamentals!$C$2:$C$151)*(Fundamentals!$C$2:$C$151&gt;0))))))),IF(NOT(ISNUMBER(Fundamentals!E11)),50,IF(Fundamentals!E11&lt;=0,15,100*(1-(SUMPRODUCT(($B$2:$B$151=TRUE())*ISNUMBER(Fundamentals!$E$2:$E$151)*(Fundamentals!$E$2:$E$151&gt;0)*(Fundamentals!$E$2:$E$151&lt;Fundamentals!E11))/MAX(1,SUMPRODUCT(($B$2:$B$151=TRUE())*ISNUMBER(Fundamentals!$E$2:$E$151)*(Fundamentals!$E$2:$E$151&gt;0))))))))</f>
        <v>50</v>
      </c>
      <c r="D11" s="5" t="n">
        <f aca="false">AVERAGE(IF(NOT(ISNUMBER(Fundamentals!F11)),50,100*(SUMPRODUCT(($B$2:$B$151=TRUE())*ISNUMBER(Fundamentals!$F$2:$F$151)*(Fundamentals!$F$2:$F$151&lt;Fundamentals!F11))/MAX(1,SUMPRODUCT(($B$2:$B$151=TRUE())*ISNUMBER(Fundamentals!$F$2:$F$151))))),IF(NOT(ISNUMBER(Fundamentals!J11)),50,100*(SUMPRODUCT(($B$2:$B$151=TRUE())*ISNUMBER(Fundamentals!$J$2:$J$151)*(Fundamentals!$J$2:$J$151&lt;Fundamentals!J11))/MAX(1,SUMPRODUCT(($B$2:$B$151=TRUE())*ISNUMBER(Fundamentals!$J$2:$J$151))))))</f>
        <v>50</v>
      </c>
      <c r="E11" s="5" t="n">
        <f aca="false">AVERAGE(IF(NOT(ISNUMBER(Fundamentals!H11)),50,100*(SUMPRODUCT(($B$2:$B$151=TRUE())*ISNUMBER(Fundamentals!$H$2:$H$151)*(Fundamentals!$H$2:$H$151&lt;Fundamentals!H11))/MAX(1,SUMPRODUCT(($B$2:$B$151=TRUE())*ISNUMBER(Fundamentals!$H$2:$H$151))))),IF(NOT(ISNUMBER(Fundamentals!I11)),50,100*(SUMPRODUCT(($B$2:$B$151=TRUE())*ISNUMBER(Fundamentals!$I$2:$I$151)*(Fundamentals!$I$2:$I$151&lt;Fundamentals!I11))/MAX(1,SUMPRODUCT(($B$2:$B$151=TRUE())*ISNUMBER(Fundamentals!$I$2:$I$151))))))</f>
        <v>50</v>
      </c>
      <c r="F11" s="5" t="n">
        <f aca="false">IF(Tickers!C11="Financial Services",50,IF(NOT(ISNUMBER(Fundamentals!G11)),50,100*(1-(SUMPRODUCT(($B$2:$B$151=TRUE())*ISNUMBER(Fundamentals!$G$2:$G$151)*(Fundamentals!$G$2:$G$151&lt;Fundamentals!G11))/MAX(1,SUMPRODUCT(($B$2:$B$151=TRUE())*ISNUMBER(Fundamentals!$G$2:$G$151)))))))</f>
        <v>50</v>
      </c>
      <c r="G11" s="5" t="n">
        <f aca="false">AVERAGE(C11:F11)</f>
        <v>50</v>
      </c>
      <c r="H11" s="5" t="n">
        <f aca="false">MIN(100,MAX(0,IF(NOT(ISNUMBER(PriceMetrics!K11)),50,100*(SUMPRODUCT(($B$2:$B$151=TRUE())*ISNUMBER(PriceMetrics!$K$2:$K$151)*(PriceMetrics!$K$2:$K$151&lt;PriceMetrics!K11))/MAX(1,SUMPRODUCT(($B$2:$B$151=TRUE())*ISNUMBER(PriceMetrics!$K$2:$K$151)))))+IF(ISNUMBER(PriceMetrics!L11),10*PriceMetrics!L11,0)))</f>
        <v>50</v>
      </c>
      <c r="I11" s="5" t="n">
        <f aca="false">0.6*IF(NOT(ISNUMBER(PriceMetrics!P11)),50,100*(SUMPRODUCT(($B$2:$B$151=TRUE())*ISNUMBER(PriceMetrics!$P$2:$P$151)*(PriceMetrics!$P$2:$P$151&lt;PriceMetrics!P11))/MAX(1,SUMPRODUCT(($B$2:$B$151=TRUE())*ISNUMBER(PriceMetrics!$P$2:$P$151)))))+0.4*IF(NOT(ISNUMBER(PriceMetrics!H11)),50,IF(PriceMetrics!H11&gt;70,40,IF(PriceMetrics!H11&gt;=50,100,IF(PriceMetrics!H11&gt;=35,60,30))))</f>
        <v>50</v>
      </c>
      <c r="J11" s="5" t="n">
        <f aca="false">AVERAGE(IF(NOT(ISNUMBER(PriceMetrics!F11)),50,100*(1-(SUMPRODUCT(($B$2:$B$151=TRUE())*ISNUMBER(PriceMetrics!$F$2:$F$151)*(PriceMetrics!$F$2:$F$151&lt;PriceMetrics!F11))/MAX(1,SUMPRODUCT(($B$2:$B$151=TRUE())*ISNUMBER(PriceMetrics!$F$2:$F$151)))))),IF(NOT(ISNUMBER(PriceMetrics!G11)),50,100*(1-(SUMPRODUCT(($B$2:$B$151=TRUE())*ISNUMBER(PriceMetrics!$G$2:$G$151)*(ABS(PriceMetrics!$G$2:$G$151)&lt;ABS(PriceMetrics!G11)))/MAX(1,SUMPRODUCT(($B$2:$B$151=TRUE())*ISNUMBER(PriceMetrics!$G$2:$G$151)))))))</f>
        <v>50</v>
      </c>
      <c r="K11" s="5" t="n">
        <f aca="false">AVERAGE(H11:J11)</f>
        <v>50</v>
      </c>
      <c r="L11" s="8" t="n">
        <f aca="false">Macro!$B$26</f>
        <v>53.5</v>
      </c>
      <c r="M11" s="5" t="n">
        <f aca="false">Control!$B$3*100*G11/100+Control!$B$4*K11+Control!$B$5*L11</f>
        <v>50.7</v>
      </c>
      <c r="N11" s="3" t="n">
        <f aca="false">M11+ROW()/1000000</f>
        <v>50.700011</v>
      </c>
      <c r="O11" s="5" t="n">
        <f aca="false">M11-IF(AND(Tickers!D11="SMALLCAP100",Macro!$B$26&lt;40),Control!$B$11,0)</f>
        <v>50.7</v>
      </c>
      <c r="P11" s="3" t="str">
        <f aca="false">IF(B11=FALSE(),"-",IF(O11&gt;=Control!$B$7,"BUY",IF(O11&gt;=Control!$B$8,"ACCUMULATE",IF(O11&gt;=Control!$B$9,"HOLD","AVOID"))))</f>
        <v>HOLD</v>
      </c>
      <c r="Q11" s="3" t="str">
        <f aca="false">IF(B11=FALSE(),"",IF(OR(O11&gt;=72,O11&lt;=32),"High",IF(OR(O11&gt;=62,O11&lt;=42),"Medium","Low")))</f>
        <v>Low</v>
      </c>
      <c r="R11" s="12" t="n">
        <f aca="false">IF(P11="BUY",Control!$B$12,IF(P11="ACCUMULATE",Control!$B$13,0))</f>
        <v>0</v>
      </c>
      <c r="S11" s="3" t="str">
        <f aca="false">IF(B11=FALSE(),"",IF(T11=C11,"Rich valuation",IF(T11=E11,"Weak growth",IF(T11=F11,"Balance-sheet leverage",IF(T11=I11,"Negative momentum","High volatility/drawdown")))))</f>
        <v>Rich valuation</v>
      </c>
      <c r="T11" s="3" t="n">
        <f aca="false">MIN(C11,E11,F11,I11,J11)</f>
        <v>50</v>
      </c>
      <c r="U11" s="3" t="n">
        <f aca="false">IF(B11=TRUE(),N11,-1000+ROW()/1000000)</f>
        <v>50.700011</v>
      </c>
    </row>
    <row r="12" customFormat="false" ht="15" hidden="false" customHeight="false" outlineLevel="0" collapsed="false">
      <c r="A12" s="7" t="str">
        <f aca="false">Tickers!A12</f>
        <v>DABUR</v>
      </c>
      <c r="B12" s="19" t="b">
        <f aca="false">Tickers!F12</f>
        <v>1</v>
      </c>
      <c r="C12" s="5" t="n">
        <f aca="false">AVERAGE(IF(NOT(ISNUMBER(Fundamentals!C12)),50,IF(Fundamentals!C12&lt;=0,15,100*(1-(SUMPRODUCT(($B$2:$B$151=TRUE())*ISNUMBER(Fundamentals!$C$2:$C$151)*(Fundamentals!$C$2:$C$151&gt;0)*(Fundamentals!$C$2:$C$151&lt;Fundamentals!C12))/MAX(1,SUMPRODUCT(($B$2:$B$151=TRUE())*ISNUMBER(Fundamentals!$C$2:$C$151)*(Fundamentals!$C$2:$C$151&gt;0))))))),IF(NOT(ISNUMBER(Fundamentals!E12)),50,IF(Fundamentals!E12&lt;=0,15,100*(1-(SUMPRODUCT(($B$2:$B$151=TRUE())*ISNUMBER(Fundamentals!$E$2:$E$151)*(Fundamentals!$E$2:$E$151&gt;0)*(Fundamentals!$E$2:$E$151&lt;Fundamentals!E12))/MAX(1,SUMPRODUCT(($B$2:$B$151=TRUE())*ISNUMBER(Fundamentals!$E$2:$E$151)*(Fundamentals!$E$2:$E$151&gt;0))))))))</f>
        <v>50</v>
      </c>
      <c r="D12" s="5" t="n">
        <f aca="false">AVERAGE(IF(NOT(ISNUMBER(Fundamentals!F12)),50,100*(SUMPRODUCT(($B$2:$B$151=TRUE())*ISNUMBER(Fundamentals!$F$2:$F$151)*(Fundamentals!$F$2:$F$151&lt;Fundamentals!F12))/MAX(1,SUMPRODUCT(($B$2:$B$151=TRUE())*ISNUMBER(Fundamentals!$F$2:$F$151))))),IF(NOT(ISNUMBER(Fundamentals!J12)),50,100*(SUMPRODUCT(($B$2:$B$151=TRUE())*ISNUMBER(Fundamentals!$J$2:$J$151)*(Fundamentals!$J$2:$J$151&lt;Fundamentals!J12))/MAX(1,SUMPRODUCT(($B$2:$B$151=TRUE())*ISNUMBER(Fundamentals!$J$2:$J$151))))))</f>
        <v>50</v>
      </c>
      <c r="E12" s="5" t="n">
        <f aca="false">AVERAGE(IF(NOT(ISNUMBER(Fundamentals!H12)),50,100*(SUMPRODUCT(($B$2:$B$151=TRUE())*ISNUMBER(Fundamentals!$H$2:$H$151)*(Fundamentals!$H$2:$H$151&lt;Fundamentals!H12))/MAX(1,SUMPRODUCT(($B$2:$B$151=TRUE())*ISNUMBER(Fundamentals!$H$2:$H$151))))),IF(NOT(ISNUMBER(Fundamentals!I12)),50,100*(SUMPRODUCT(($B$2:$B$151=TRUE())*ISNUMBER(Fundamentals!$I$2:$I$151)*(Fundamentals!$I$2:$I$151&lt;Fundamentals!I12))/MAX(1,SUMPRODUCT(($B$2:$B$151=TRUE())*ISNUMBER(Fundamentals!$I$2:$I$151))))))</f>
        <v>50</v>
      </c>
      <c r="F12" s="5" t="n">
        <f aca="false">IF(Tickers!C12="Financial Services",50,IF(NOT(ISNUMBER(Fundamentals!G12)),50,100*(1-(SUMPRODUCT(($B$2:$B$151=TRUE())*ISNUMBER(Fundamentals!$G$2:$G$151)*(Fundamentals!$G$2:$G$151&lt;Fundamentals!G12))/MAX(1,SUMPRODUCT(($B$2:$B$151=TRUE())*ISNUMBER(Fundamentals!$G$2:$G$151)))))))</f>
        <v>50</v>
      </c>
      <c r="G12" s="5" t="n">
        <f aca="false">AVERAGE(C12:F12)</f>
        <v>50</v>
      </c>
      <c r="H12" s="5" t="n">
        <f aca="false">MIN(100,MAX(0,IF(NOT(ISNUMBER(PriceMetrics!K12)),50,100*(SUMPRODUCT(($B$2:$B$151=TRUE())*ISNUMBER(PriceMetrics!$K$2:$K$151)*(PriceMetrics!$K$2:$K$151&lt;PriceMetrics!K12))/MAX(1,SUMPRODUCT(($B$2:$B$151=TRUE())*ISNUMBER(PriceMetrics!$K$2:$K$151)))))+IF(ISNUMBER(PriceMetrics!L12),10*PriceMetrics!L12,0)))</f>
        <v>50</v>
      </c>
      <c r="I12" s="5" t="n">
        <f aca="false">0.6*IF(NOT(ISNUMBER(PriceMetrics!P12)),50,100*(SUMPRODUCT(($B$2:$B$151=TRUE())*ISNUMBER(PriceMetrics!$P$2:$P$151)*(PriceMetrics!$P$2:$P$151&lt;PriceMetrics!P12))/MAX(1,SUMPRODUCT(($B$2:$B$151=TRUE())*ISNUMBER(PriceMetrics!$P$2:$P$151)))))+0.4*IF(NOT(ISNUMBER(PriceMetrics!H12)),50,IF(PriceMetrics!H12&gt;70,40,IF(PriceMetrics!H12&gt;=50,100,IF(PriceMetrics!H12&gt;=35,60,30))))</f>
        <v>50</v>
      </c>
      <c r="J12" s="5" t="n">
        <f aca="false">AVERAGE(IF(NOT(ISNUMBER(PriceMetrics!F12)),50,100*(1-(SUMPRODUCT(($B$2:$B$151=TRUE())*ISNUMBER(PriceMetrics!$F$2:$F$151)*(PriceMetrics!$F$2:$F$151&lt;PriceMetrics!F12))/MAX(1,SUMPRODUCT(($B$2:$B$151=TRUE())*ISNUMBER(PriceMetrics!$F$2:$F$151)))))),IF(NOT(ISNUMBER(PriceMetrics!G12)),50,100*(1-(SUMPRODUCT(($B$2:$B$151=TRUE())*ISNUMBER(PriceMetrics!$G$2:$G$151)*(ABS(PriceMetrics!$G$2:$G$151)&lt;ABS(PriceMetrics!G12)))/MAX(1,SUMPRODUCT(($B$2:$B$151=TRUE())*ISNUMBER(PriceMetrics!$G$2:$G$151)))))))</f>
        <v>50</v>
      </c>
      <c r="K12" s="5" t="n">
        <f aca="false">AVERAGE(H12:J12)</f>
        <v>50</v>
      </c>
      <c r="L12" s="8" t="n">
        <f aca="false">Macro!$B$26</f>
        <v>53.5</v>
      </c>
      <c r="M12" s="5" t="n">
        <f aca="false">Control!$B$3*100*G12/100+Control!$B$4*K12+Control!$B$5*L12</f>
        <v>50.7</v>
      </c>
      <c r="N12" s="3" t="n">
        <f aca="false">M12+ROW()/1000000</f>
        <v>50.700012</v>
      </c>
      <c r="O12" s="5" t="n">
        <f aca="false">M12-IF(AND(Tickers!D12="SMALLCAP100",Macro!$B$26&lt;40),Control!$B$11,0)</f>
        <v>50.7</v>
      </c>
      <c r="P12" s="3" t="str">
        <f aca="false">IF(B12=FALSE(),"-",IF(O12&gt;=Control!$B$7,"BUY",IF(O12&gt;=Control!$B$8,"ACCUMULATE",IF(O12&gt;=Control!$B$9,"HOLD","AVOID"))))</f>
        <v>HOLD</v>
      </c>
      <c r="Q12" s="3" t="str">
        <f aca="false">IF(B12=FALSE(),"",IF(OR(O12&gt;=72,O12&lt;=32),"High",IF(OR(O12&gt;=62,O12&lt;=42),"Medium","Low")))</f>
        <v>Low</v>
      </c>
      <c r="R12" s="12" t="n">
        <f aca="false">IF(P12="BUY",Control!$B$12,IF(P12="ACCUMULATE",Control!$B$13,0))</f>
        <v>0</v>
      </c>
      <c r="S12" s="3" t="str">
        <f aca="false">IF(B12=FALSE(),"",IF(T12=C12,"Rich valuation",IF(T12=E12,"Weak growth",IF(T12=F12,"Balance-sheet leverage",IF(T12=I12,"Negative momentum","High volatility/drawdown")))))</f>
        <v>Rich valuation</v>
      </c>
      <c r="T12" s="3" t="n">
        <f aca="false">MIN(C12,E12,F12,I12,J12)</f>
        <v>50</v>
      </c>
      <c r="U12" s="3" t="n">
        <f aca="false">IF(B12=TRUE(),N12,-1000+ROW()/1000000)</f>
        <v>50.700012</v>
      </c>
    </row>
    <row r="13" customFormat="false" ht="15" hidden="false" customHeight="false" outlineLevel="0" collapsed="false">
      <c r="A13" s="7" t="str">
        <f aca="false">Tickers!A13</f>
        <v>DIXON</v>
      </c>
      <c r="B13" s="19" t="b">
        <f aca="false">Tickers!F13</f>
        <v>1</v>
      </c>
      <c r="C13" s="5" t="n">
        <f aca="false">AVERAGE(IF(NOT(ISNUMBER(Fundamentals!C13)),50,IF(Fundamentals!C13&lt;=0,15,100*(1-(SUMPRODUCT(($B$2:$B$151=TRUE())*ISNUMBER(Fundamentals!$C$2:$C$151)*(Fundamentals!$C$2:$C$151&gt;0)*(Fundamentals!$C$2:$C$151&lt;Fundamentals!C13))/MAX(1,SUMPRODUCT(($B$2:$B$151=TRUE())*ISNUMBER(Fundamentals!$C$2:$C$151)*(Fundamentals!$C$2:$C$151&gt;0))))))),IF(NOT(ISNUMBER(Fundamentals!E13)),50,IF(Fundamentals!E13&lt;=0,15,100*(1-(SUMPRODUCT(($B$2:$B$151=TRUE())*ISNUMBER(Fundamentals!$E$2:$E$151)*(Fundamentals!$E$2:$E$151&gt;0)*(Fundamentals!$E$2:$E$151&lt;Fundamentals!E13))/MAX(1,SUMPRODUCT(($B$2:$B$151=TRUE())*ISNUMBER(Fundamentals!$E$2:$E$151)*(Fundamentals!$E$2:$E$151&gt;0))))))))</f>
        <v>50</v>
      </c>
      <c r="D13" s="5" t="n">
        <f aca="false">AVERAGE(IF(NOT(ISNUMBER(Fundamentals!F13)),50,100*(SUMPRODUCT(($B$2:$B$151=TRUE())*ISNUMBER(Fundamentals!$F$2:$F$151)*(Fundamentals!$F$2:$F$151&lt;Fundamentals!F13))/MAX(1,SUMPRODUCT(($B$2:$B$151=TRUE())*ISNUMBER(Fundamentals!$F$2:$F$151))))),IF(NOT(ISNUMBER(Fundamentals!J13)),50,100*(SUMPRODUCT(($B$2:$B$151=TRUE())*ISNUMBER(Fundamentals!$J$2:$J$151)*(Fundamentals!$J$2:$J$151&lt;Fundamentals!J13))/MAX(1,SUMPRODUCT(($B$2:$B$151=TRUE())*ISNUMBER(Fundamentals!$J$2:$J$151))))))</f>
        <v>50</v>
      </c>
      <c r="E13" s="5" t="n">
        <f aca="false">AVERAGE(IF(NOT(ISNUMBER(Fundamentals!H13)),50,100*(SUMPRODUCT(($B$2:$B$151=TRUE())*ISNUMBER(Fundamentals!$H$2:$H$151)*(Fundamentals!$H$2:$H$151&lt;Fundamentals!H13))/MAX(1,SUMPRODUCT(($B$2:$B$151=TRUE())*ISNUMBER(Fundamentals!$H$2:$H$151))))),IF(NOT(ISNUMBER(Fundamentals!I13)),50,100*(SUMPRODUCT(($B$2:$B$151=TRUE())*ISNUMBER(Fundamentals!$I$2:$I$151)*(Fundamentals!$I$2:$I$151&lt;Fundamentals!I13))/MAX(1,SUMPRODUCT(($B$2:$B$151=TRUE())*ISNUMBER(Fundamentals!$I$2:$I$151))))))</f>
        <v>50</v>
      </c>
      <c r="F13" s="5" t="n">
        <f aca="false">IF(Tickers!C13="Financial Services",50,IF(NOT(ISNUMBER(Fundamentals!G13)),50,100*(1-(SUMPRODUCT(($B$2:$B$151=TRUE())*ISNUMBER(Fundamentals!$G$2:$G$151)*(Fundamentals!$G$2:$G$151&lt;Fundamentals!G13))/MAX(1,SUMPRODUCT(($B$2:$B$151=TRUE())*ISNUMBER(Fundamentals!$G$2:$G$151)))))))</f>
        <v>50</v>
      </c>
      <c r="G13" s="5" t="n">
        <f aca="false">AVERAGE(C13:F13)</f>
        <v>50</v>
      </c>
      <c r="H13" s="5" t="n">
        <f aca="false">MIN(100,MAX(0,IF(NOT(ISNUMBER(PriceMetrics!K13)),50,100*(SUMPRODUCT(($B$2:$B$151=TRUE())*ISNUMBER(PriceMetrics!$K$2:$K$151)*(PriceMetrics!$K$2:$K$151&lt;PriceMetrics!K13))/MAX(1,SUMPRODUCT(($B$2:$B$151=TRUE())*ISNUMBER(PriceMetrics!$K$2:$K$151)))))+IF(ISNUMBER(PriceMetrics!L13),10*PriceMetrics!L13,0)))</f>
        <v>50</v>
      </c>
      <c r="I13" s="5" t="n">
        <f aca="false">0.6*IF(NOT(ISNUMBER(PriceMetrics!P13)),50,100*(SUMPRODUCT(($B$2:$B$151=TRUE())*ISNUMBER(PriceMetrics!$P$2:$P$151)*(PriceMetrics!$P$2:$P$151&lt;PriceMetrics!P13))/MAX(1,SUMPRODUCT(($B$2:$B$151=TRUE())*ISNUMBER(PriceMetrics!$P$2:$P$151)))))+0.4*IF(NOT(ISNUMBER(PriceMetrics!H13)),50,IF(PriceMetrics!H13&gt;70,40,IF(PriceMetrics!H13&gt;=50,100,IF(PriceMetrics!H13&gt;=35,60,30))))</f>
        <v>50</v>
      </c>
      <c r="J13" s="5" t="n">
        <f aca="false">AVERAGE(IF(NOT(ISNUMBER(PriceMetrics!F13)),50,100*(1-(SUMPRODUCT(($B$2:$B$151=TRUE())*ISNUMBER(PriceMetrics!$F$2:$F$151)*(PriceMetrics!$F$2:$F$151&lt;PriceMetrics!F13))/MAX(1,SUMPRODUCT(($B$2:$B$151=TRUE())*ISNUMBER(PriceMetrics!$F$2:$F$151)))))),IF(NOT(ISNUMBER(PriceMetrics!G13)),50,100*(1-(SUMPRODUCT(($B$2:$B$151=TRUE())*ISNUMBER(PriceMetrics!$G$2:$G$151)*(ABS(PriceMetrics!$G$2:$G$151)&lt;ABS(PriceMetrics!G13)))/MAX(1,SUMPRODUCT(($B$2:$B$151=TRUE())*ISNUMBER(PriceMetrics!$G$2:$G$151)))))))</f>
        <v>50</v>
      </c>
      <c r="K13" s="5" t="n">
        <f aca="false">AVERAGE(H13:J13)</f>
        <v>50</v>
      </c>
      <c r="L13" s="8" t="n">
        <f aca="false">Macro!$B$26</f>
        <v>53.5</v>
      </c>
      <c r="M13" s="5" t="n">
        <f aca="false">Control!$B$3*100*G13/100+Control!$B$4*K13+Control!$B$5*L13</f>
        <v>50.7</v>
      </c>
      <c r="N13" s="3" t="n">
        <f aca="false">M13+ROW()/1000000</f>
        <v>50.700013</v>
      </c>
      <c r="O13" s="5" t="n">
        <f aca="false">M13-IF(AND(Tickers!D13="SMALLCAP100",Macro!$B$26&lt;40),Control!$B$11,0)</f>
        <v>50.7</v>
      </c>
      <c r="P13" s="3" t="str">
        <f aca="false">IF(B13=FALSE(),"-",IF(O13&gt;=Control!$B$7,"BUY",IF(O13&gt;=Control!$B$8,"ACCUMULATE",IF(O13&gt;=Control!$B$9,"HOLD","AVOID"))))</f>
        <v>HOLD</v>
      </c>
      <c r="Q13" s="3" t="str">
        <f aca="false">IF(B13=FALSE(),"",IF(OR(O13&gt;=72,O13&lt;=32),"High",IF(OR(O13&gt;=62,O13&lt;=42),"Medium","Low")))</f>
        <v>Low</v>
      </c>
      <c r="R13" s="12" t="n">
        <f aca="false">IF(P13="BUY",Control!$B$12,IF(P13="ACCUMULATE",Control!$B$13,0))</f>
        <v>0</v>
      </c>
      <c r="S13" s="3" t="str">
        <f aca="false">IF(B13=FALSE(),"",IF(T13=C13,"Rich valuation",IF(T13=E13,"Weak growth",IF(T13=F13,"Balance-sheet leverage",IF(T13=I13,"Negative momentum","High volatility/drawdown")))))</f>
        <v>Rich valuation</v>
      </c>
      <c r="T13" s="3" t="n">
        <f aca="false">MIN(C13,E13,F13,I13,J13)</f>
        <v>50</v>
      </c>
      <c r="U13" s="3" t="n">
        <f aca="false">IF(B13=TRUE(),N13,-1000+ROW()/1000000)</f>
        <v>50.700013</v>
      </c>
    </row>
    <row r="14" customFormat="false" ht="15" hidden="false" customHeight="false" outlineLevel="0" collapsed="false">
      <c r="A14" s="7" t="str">
        <f aca="false">Tickers!A14</f>
        <v>NYKAA</v>
      </c>
      <c r="B14" s="19" t="b">
        <f aca="false">Tickers!F14</f>
        <v>1</v>
      </c>
      <c r="C14" s="5" t="n">
        <f aca="false">AVERAGE(IF(NOT(ISNUMBER(Fundamentals!C14)),50,IF(Fundamentals!C14&lt;=0,15,100*(1-(SUMPRODUCT(($B$2:$B$151=TRUE())*ISNUMBER(Fundamentals!$C$2:$C$151)*(Fundamentals!$C$2:$C$151&gt;0)*(Fundamentals!$C$2:$C$151&lt;Fundamentals!C14))/MAX(1,SUMPRODUCT(($B$2:$B$151=TRUE())*ISNUMBER(Fundamentals!$C$2:$C$151)*(Fundamentals!$C$2:$C$151&gt;0))))))),IF(NOT(ISNUMBER(Fundamentals!E14)),50,IF(Fundamentals!E14&lt;=0,15,100*(1-(SUMPRODUCT(($B$2:$B$151=TRUE())*ISNUMBER(Fundamentals!$E$2:$E$151)*(Fundamentals!$E$2:$E$151&gt;0)*(Fundamentals!$E$2:$E$151&lt;Fundamentals!E14))/MAX(1,SUMPRODUCT(($B$2:$B$151=TRUE())*ISNUMBER(Fundamentals!$E$2:$E$151)*(Fundamentals!$E$2:$E$151&gt;0))))))))</f>
        <v>50</v>
      </c>
      <c r="D14" s="5" t="n">
        <f aca="false">AVERAGE(IF(NOT(ISNUMBER(Fundamentals!F14)),50,100*(SUMPRODUCT(($B$2:$B$151=TRUE())*ISNUMBER(Fundamentals!$F$2:$F$151)*(Fundamentals!$F$2:$F$151&lt;Fundamentals!F14))/MAX(1,SUMPRODUCT(($B$2:$B$151=TRUE())*ISNUMBER(Fundamentals!$F$2:$F$151))))),IF(NOT(ISNUMBER(Fundamentals!J14)),50,100*(SUMPRODUCT(($B$2:$B$151=TRUE())*ISNUMBER(Fundamentals!$J$2:$J$151)*(Fundamentals!$J$2:$J$151&lt;Fundamentals!J14))/MAX(1,SUMPRODUCT(($B$2:$B$151=TRUE())*ISNUMBER(Fundamentals!$J$2:$J$151))))))</f>
        <v>50</v>
      </c>
      <c r="E14" s="5" t="n">
        <f aca="false">AVERAGE(IF(NOT(ISNUMBER(Fundamentals!H14)),50,100*(SUMPRODUCT(($B$2:$B$151=TRUE())*ISNUMBER(Fundamentals!$H$2:$H$151)*(Fundamentals!$H$2:$H$151&lt;Fundamentals!H14))/MAX(1,SUMPRODUCT(($B$2:$B$151=TRUE())*ISNUMBER(Fundamentals!$H$2:$H$151))))),IF(NOT(ISNUMBER(Fundamentals!I14)),50,100*(SUMPRODUCT(($B$2:$B$151=TRUE())*ISNUMBER(Fundamentals!$I$2:$I$151)*(Fundamentals!$I$2:$I$151&lt;Fundamentals!I14))/MAX(1,SUMPRODUCT(($B$2:$B$151=TRUE())*ISNUMBER(Fundamentals!$I$2:$I$151))))))</f>
        <v>50</v>
      </c>
      <c r="F14" s="5" t="n">
        <f aca="false">IF(Tickers!C14="Financial Services",50,IF(NOT(ISNUMBER(Fundamentals!G14)),50,100*(1-(SUMPRODUCT(($B$2:$B$151=TRUE())*ISNUMBER(Fundamentals!$G$2:$G$151)*(Fundamentals!$G$2:$G$151&lt;Fundamentals!G14))/MAX(1,SUMPRODUCT(($B$2:$B$151=TRUE())*ISNUMBER(Fundamentals!$G$2:$G$151)))))))</f>
        <v>50</v>
      </c>
      <c r="G14" s="5" t="n">
        <f aca="false">AVERAGE(C14:F14)</f>
        <v>50</v>
      </c>
      <c r="H14" s="5" t="n">
        <f aca="false">MIN(100,MAX(0,IF(NOT(ISNUMBER(PriceMetrics!K14)),50,100*(SUMPRODUCT(($B$2:$B$151=TRUE())*ISNUMBER(PriceMetrics!$K$2:$K$151)*(PriceMetrics!$K$2:$K$151&lt;PriceMetrics!K14))/MAX(1,SUMPRODUCT(($B$2:$B$151=TRUE())*ISNUMBER(PriceMetrics!$K$2:$K$151)))))+IF(ISNUMBER(PriceMetrics!L14),10*PriceMetrics!L14,0)))</f>
        <v>50</v>
      </c>
      <c r="I14" s="5" t="n">
        <f aca="false">0.6*IF(NOT(ISNUMBER(PriceMetrics!P14)),50,100*(SUMPRODUCT(($B$2:$B$151=TRUE())*ISNUMBER(PriceMetrics!$P$2:$P$151)*(PriceMetrics!$P$2:$P$151&lt;PriceMetrics!P14))/MAX(1,SUMPRODUCT(($B$2:$B$151=TRUE())*ISNUMBER(PriceMetrics!$P$2:$P$151)))))+0.4*IF(NOT(ISNUMBER(PriceMetrics!H14)),50,IF(PriceMetrics!H14&gt;70,40,IF(PriceMetrics!H14&gt;=50,100,IF(PriceMetrics!H14&gt;=35,60,30))))</f>
        <v>50</v>
      </c>
      <c r="J14" s="5" t="n">
        <f aca="false">AVERAGE(IF(NOT(ISNUMBER(PriceMetrics!F14)),50,100*(1-(SUMPRODUCT(($B$2:$B$151=TRUE())*ISNUMBER(PriceMetrics!$F$2:$F$151)*(PriceMetrics!$F$2:$F$151&lt;PriceMetrics!F14))/MAX(1,SUMPRODUCT(($B$2:$B$151=TRUE())*ISNUMBER(PriceMetrics!$F$2:$F$151)))))),IF(NOT(ISNUMBER(PriceMetrics!G14)),50,100*(1-(SUMPRODUCT(($B$2:$B$151=TRUE())*ISNUMBER(PriceMetrics!$G$2:$G$151)*(ABS(PriceMetrics!$G$2:$G$151)&lt;ABS(PriceMetrics!G14)))/MAX(1,SUMPRODUCT(($B$2:$B$151=TRUE())*ISNUMBER(PriceMetrics!$G$2:$G$151)))))))</f>
        <v>50</v>
      </c>
      <c r="K14" s="5" t="n">
        <f aca="false">AVERAGE(H14:J14)</f>
        <v>50</v>
      </c>
      <c r="L14" s="8" t="n">
        <f aca="false">Macro!$B$26</f>
        <v>53.5</v>
      </c>
      <c r="M14" s="5" t="n">
        <f aca="false">Control!$B$3*100*G14/100+Control!$B$4*K14+Control!$B$5*L14</f>
        <v>50.7</v>
      </c>
      <c r="N14" s="3" t="n">
        <f aca="false">M14+ROW()/1000000</f>
        <v>50.700014</v>
      </c>
      <c r="O14" s="5" t="n">
        <f aca="false">M14-IF(AND(Tickers!D14="SMALLCAP100",Macro!$B$26&lt;40),Control!$B$11,0)</f>
        <v>50.7</v>
      </c>
      <c r="P14" s="3" t="str">
        <f aca="false">IF(B14=FALSE(),"-",IF(O14&gt;=Control!$B$7,"BUY",IF(O14&gt;=Control!$B$8,"ACCUMULATE",IF(O14&gt;=Control!$B$9,"HOLD","AVOID"))))</f>
        <v>HOLD</v>
      </c>
      <c r="Q14" s="3" t="str">
        <f aca="false">IF(B14=FALSE(),"",IF(OR(O14&gt;=72,O14&lt;=32),"High",IF(OR(O14&gt;=62,O14&lt;=42),"Medium","Low")))</f>
        <v>Low</v>
      </c>
      <c r="R14" s="12" t="n">
        <f aca="false">IF(P14="BUY",Control!$B$12,IF(P14="ACCUMULATE",Control!$B$13,0))</f>
        <v>0</v>
      </c>
      <c r="S14" s="3" t="str">
        <f aca="false">IF(B14=FALSE(),"",IF(T14=C14,"Rich valuation",IF(T14=E14,"Weak growth",IF(T14=F14,"Balance-sheet leverage",IF(T14=I14,"Negative momentum","High volatility/drawdown")))))</f>
        <v>Rich valuation</v>
      </c>
      <c r="T14" s="3" t="n">
        <f aca="false">MIN(C14,E14,F14,I14,J14)</f>
        <v>50</v>
      </c>
      <c r="U14" s="3" t="n">
        <f aca="false">IF(B14=TRUE(),N14,-1000+ROW()/1000000)</f>
        <v>50.700014</v>
      </c>
    </row>
    <row r="15" customFormat="false" ht="15" hidden="false" customHeight="false" outlineLevel="0" collapsed="false">
      <c r="A15" s="7" t="str">
        <f aca="false">Tickers!A15</f>
        <v>FEDERALBNK</v>
      </c>
      <c r="B15" s="19" t="b">
        <f aca="false">Tickers!F15</f>
        <v>1</v>
      </c>
      <c r="C15" s="5" t="n">
        <f aca="false">AVERAGE(IF(NOT(ISNUMBER(Fundamentals!C15)),50,IF(Fundamentals!C15&lt;=0,15,100*(1-(SUMPRODUCT(($B$2:$B$151=TRUE())*ISNUMBER(Fundamentals!$C$2:$C$151)*(Fundamentals!$C$2:$C$151&gt;0)*(Fundamentals!$C$2:$C$151&lt;Fundamentals!C15))/MAX(1,SUMPRODUCT(($B$2:$B$151=TRUE())*ISNUMBER(Fundamentals!$C$2:$C$151)*(Fundamentals!$C$2:$C$151&gt;0))))))),IF(NOT(ISNUMBER(Fundamentals!E15)),50,IF(Fundamentals!E15&lt;=0,15,100*(1-(SUMPRODUCT(($B$2:$B$151=TRUE())*ISNUMBER(Fundamentals!$E$2:$E$151)*(Fundamentals!$E$2:$E$151&gt;0)*(Fundamentals!$E$2:$E$151&lt;Fundamentals!E15))/MAX(1,SUMPRODUCT(($B$2:$B$151=TRUE())*ISNUMBER(Fundamentals!$E$2:$E$151)*(Fundamentals!$E$2:$E$151&gt;0))))))))</f>
        <v>50</v>
      </c>
      <c r="D15" s="5" t="n">
        <f aca="false">AVERAGE(IF(NOT(ISNUMBER(Fundamentals!F15)),50,100*(SUMPRODUCT(($B$2:$B$151=TRUE())*ISNUMBER(Fundamentals!$F$2:$F$151)*(Fundamentals!$F$2:$F$151&lt;Fundamentals!F15))/MAX(1,SUMPRODUCT(($B$2:$B$151=TRUE())*ISNUMBER(Fundamentals!$F$2:$F$151))))),IF(NOT(ISNUMBER(Fundamentals!J15)),50,100*(SUMPRODUCT(($B$2:$B$151=TRUE())*ISNUMBER(Fundamentals!$J$2:$J$151)*(Fundamentals!$J$2:$J$151&lt;Fundamentals!J15))/MAX(1,SUMPRODUCT(($B$2:$B$151=TRUE())*ISNUMBER(Fundamentals!$J$2:$J$151))))))</f>
        <v>50</v>
      </c>
      <c r="E15" s="5" t="n">
        <f aca="false">AVERAGE(IF(NOT(ISNUMBER(Fundamentals!H15)),50,100*(SUMPRODUCT(($B$2:$B$151=TRUE())*ISNUMBER(Fundamentals!$H$2:$H$151)*(Fundamentals!$H$2:$H$151&lt;Fundamentals!H15))/MAX(1,SUMPRODUCT(($B$2:$B$151=TRUE())*ISNUMBER(Fundamentals!$H$2:$H$151))))),IF(NOT(ISNUMBER(Fundamentals!I15)),50,100*(SUMPRODUCT(($B$2:$B$151=TRUE())*ISNUMBER(Fundamentals!$I$2:$I$151)*(Fundamentals!$I$2:$I$151&lt;Fundamentals!I15))/MAX(1,SUMPRODUCT(($B$2:$B$151=TRUE())*ISNUMBER(Fundamentals!$I$2:$I$151))))))</f>
        <v>50</v>
      </c>
      <c r="F15" s="5" t="n">
        <f aca="false">IF(Tickers!C15="Financial Services",50,IF(NOT(ISNUMBER(Fundamentals!G15)),50,100*(1-(SUMPRODUCT(($B$2:$B$151=TRUE())*ISNUMBER(Fundamentals!$G$2:$G$151)*(Fundamentals!$G$2:$G$151&lt;Fundamentals!G15))/MAX(1,SUMPRODUCT(($B$2:$B$151=TRUE())*ISNUMBER(Fundamentals!$G$2:$G$151)))))))</f>
        <v>50</v>
      </c>
      <c r="G15" s="5" t="n">
        <f aca="false">AVERAGE(C15:F15)</f>
        <v>50</v>
      </c>
      <c r="H15" s="5" t="n">
        <f aca="false">MIN(100,MAX(0,IF(NOT(ISNUMBER(PriceMetrics!K15)),50,100*(SUMPRODUCT(($B$2:$B$151=TRUE())*ISNUMBER(PriceMetrics!$K$2:$K$151)*(PriceMetrics!$K$2:$K$151&lt;PriceMetrics!K15))/MAX(1,SUMPRODUCT(($B$2:$B$151=TRUE())*ISNUMBER(PriceMetrics!$K$2:$K$151)))))+IF(ISNUMBER(PriceMetrics!L15),10*PriceMetrics!L15,0)))</f>
        <v>50</v>
      </c>
      <c r="I15" s="5" t="n">
        <f aca="false">0.6*IF(NOT(ISNUMBER(PriceMetrics!P15)),50,100*(SUMPRODUCT(($B$2:$B$151=TRUE())*ISNUMBER(PriceMetrics!$P$2:$P$151)*(PriceMetrics!$P$2:$P$151&lt;PriceMetrics!P15))/MAX(1,SUMPRODUCT(($B$2:$B$151=TRUE())*ISNUMBER(PriceMetrics!$P$2:$P$151)))))+0.4*IF(NOT(ISNUMBER(PriceMetrics!H15)),50,IF(PriceMetrics!H15&gt;70,40,IF(PriceMetrics!H15&gt;=50,100,IF(PriceMetrics!H15&gt;=35,60,30))))</f>
        <v>50</v>
      </c>
      <c r="J15" s="5" t="n">
        <f aca="false">AVERAGE(IF(NOT(ISNUMBER(PriceMetrics!F15)),50,100*(1-(SUMPRODUCT(($B$2:$B$151=TRUE())*ISNUMBER(PriceMetrics!$F$2:$F$151)*(PriceMetrics!$F$2:$F$151&lt;PriceMetrics!F15))/MAX(1,SUMPRODUCT(($B$2:$B$151=TRUE())*ISNUMBER(PriceMetrics!$F$2:$F$151)))))),IF(NOT(ISNUMBER(PriceMetrics!G15)),50,100*(1-(SUMPRODUCT(($B$2:$B$151=TRUE())*ISNUMBER(PriceMetrics!$G$2:$G$151)*(ABS(PriceMetrics!$G$2:$G$151)&lt;ABS(PriceMetrics!G15)))/MAX(1,SUMPRODUCT(($B$2:$B$151=TRUE())*ISNUMBER(PriceMetrics!$G$2:$G$151)))))))</f>
        <v>50</v>
      </c>
      <c r="K15" s="5" t="n">
        <f aca="false">AVERAGE(H15:J15)</f>
        <v>50</v>
      </c>
      <c r="L15" s="8" t="n">
        <f aca="false">Macro!$B$26</f>
        <v>53.5</v>
      </c>
      <c r="M15" s="5" t="n">
        <f aca="false">Control!$B$3*100*G15/100+Control!$B$4*K15+Control!$B$5*L15</f>
        <v>50.7</v>
      </c>
      <c r="N15" s="3" t="n">
        <f aca="false">M15+ROW()/1000000</f>
        <v>50.700015</v>
      </c>
      <c r="O15" s="5" t="n">
        <f aca="false">M15-IF(AND(Tickers!D15="SMALLCAP100",Macro!$B$26&lt;40),Control!$B$11,0)</f>
        <v>50.7</v>
      </c>
      <c r="P15" s="3" t="str">
        <f aca="false">IF(B15=FALSE(),"-",IF(O15&gt;=Control!$B$7,"BUY",IF(O15&gt;=Control!$B$8,"ACCUMULATE",IF(O15&gt;=Control!$B$9,"HOLD","AVOID"))))</f>
        <v>HOLD</v>
      </c>
      <c r="Q15" s="3" t="str">
        <f aca="false">IF(B15=FALSE(),"",IF(OR(O15&gt;=72,O15&lt;=32),"High",IF(OR(O15&gt;=62,O15&lt;=42),"Medium","Low")))</f>
        <v>Low</v>
      </c>
      <c r="R15" s="12" t="n">
        <f aca="false">IF(P15="BUY",Control!$B$12,IF(P15="ACCUMULATE",Control!$B$13,0))</f>
        <v>0</v>
      </c>
      <c r="S15" s="3" t="str">
        <f aca="false">IF(B15=FALSE(),"",IF(T15=C15,"Rich valuation",IF(T15=E15,"Weak growth",IF(T15=F15,"Balance-sheet leverage",IF(T15=I15,"Negative momentum","High volatility/drawdown")))))</f>
        <v>Rich valuation</v>
      </c>
      <c r="T15" s="3" t="n">
        <f aca="false">MIN(C15,E15,F15,I15,J15)</f>
        <v>50</v>
      </c>
      <c r="U15" s="3" t="n">
        <f aca="false">IF(B15=TRUE(),N15,-1000+ROW()/1000000)</f>
        <v>50.700015</v>
      </c>
    </row>
    <row r="16" customFormat="false" ht="15" hidden="false" customHeight="false" outlineLevel="0" collapsed="false">
      <c r="A16" s="7" t="str">
        <f aca="false">Tickers!A16</f>
        <v>FORTIS</v>
      </c>
      <c r="B16" s="19" t="b">
        <f aca="false">Tickers!F16</f>
        <v>1</v>
      </c>
      <c r="C16" s="5" t="n">
        <f aca="false">AVERAGE(IF(NOT(ISNUMBER(Fundamentals!C16)),50,IF(Fundamentals!C16&lt;=0,15,100*(1-(SUMPRODUCT(($B$2:$B$151=TRUE())*ISNUMBER(Fundamentals!$C$2:$C$151)*(Fundamentals!$C$2:$C$151&gt;0)*(Fundamentals!$C$2:$C$151&lt;Fundamentals!C16))/MAX(1,SUMPRODUCT(($B$2:$B$151=TRUE())*ISNUMBER(Fundamentals!$C$2:$C$151)*(Fundamentals!$C$2:$C$151&gt;0))))))),IF(NOT(ISNUMBER(Fundamentals!E16)),50,IF(Fundamentals!E16&lt;=0,15,100*(1-(SUMPRODUCT(($B$2:$B$151=TRUE())*ISNUMBER(Fundamentals!$E$2:$E$151)*(Fundamentals!$E$2:$E$151&gt;0)*(Fundamentals!$E$2:$E$151&lt;Fundamentals!E16))/MAX(1,SUMPRODUCT(($B$2:$B$151=TRUE())*ISNUMBER(Fundamentals!$E$2:$E$151)*(Fundamentals!$E$2:$E$151&gt;0))))))))</f>
        <v>50</v>
      </c>
      <c r="D16" s="5" t="n">
        <f aca="false">AVERAGE(IF(NOT(ISNUMBER(Fundamentals!F16)),50,100*(SUMPRODUCT(($B$2:$B$151=TRUE())*ISNUMBER(Fundamentals!$F$2:$F$151)*(Fundamentals!$F$2:$F$151&lt;Fundamentals!F16))/MAX(1,SUMPRODUCT(($B$2:$B$151=TRUE())*ISNUMBER(Fundamentals!$F$2:$F$151))))),IF(NOT(ISNUMBER(Fundamentals!J16)),50,100*(SUMPRODUCT(($B$2:$B$151=TRUE())*ISNUMBER(Fundamentals!$J$2:$J$151)*(Fundamentals!$J$2:$J$151&lt;Fundamentals!J16))/MAX(1,SUMPRODUCT(($B$2:$B$151=TRUE())*ISNUMBER(Fundamentals!$J$2:$J$151))))))</f>
        <v>50</v>
      </c>
      <c r="E16" s="5" t="n">
        <f aca="false">AVERAGE(IF(NOT(ISNUMBER(Fundamentals!H16)),50,100*(SUMPRODUCT(($B$2:$B$151=TRUE())*ISNUMBER(Fundamentals!$H$2:$H$151)*(Fundamentals!$H$2:$H$151&lt;Fundamentals!H16))/MAX(1,SUMPRODUCT(($B$2:$B$151=TRUE())*ISNUMBER(Fundamentals!$H$2:$H$151))))),IF(NOT(ISNUMBER(Fundamentals!I16)),50,100*(SUMPRODUCT(($B$2:$B$151=TRUE())*ISNUMBER(Fundamentals!$I$2:$I$151)*(Fundamentals!$I$2:$I$151&lt;Fundamentals!I16))/MAX(1,SUMPRODUCT(($B$2:$B$151=TRUE())*ISNUMBER(Fundamentals!$I$2:$I$151))))))</f>
        <v>50</v>
      </c>
      <c r="F16" s="5" t="n">
        <f aca="false">IF(Tickers!C16="Financial Services",50,IF(NOT(ISNUMBER(Fundamentals!G16)),50,100*(1-(SUMPRODUCT(($B$2:$B$151=TRUE())*ISNUMBER(Fundamentals!$G$2:$G$151)*(Fundamentals!$G$2:$G$151&lt;Fundamentals!G16))/MAX(1,SUMPRODUCT(($B$2:$B$151=TRUE())*ISNUMBER(Fundamentals!$G$2:$G$151)))))))</f>
        <v>50</v>
      </c>
      <c r="G16" s="5" t="n">
        <f aca="false">AVERAGE(C16:F16)</f>
        <v>50</v>
      </c>
      <c r="H16" s="5" t="n">
        <f aca="false">MIN(100,MAX(0,IF(NOT(ISNUMBER(PriceMetrics!K16)),50,100*(SUMPRODUCT(($B$2:$B$151=TRUE())*ISNUMBER(PriceMetrics!$K$2:$K$151)*(PriceMetrics!$K$2:$K$151&lt;PriceMetrics!K16))/MAX(1,SUMPRODUCT(($B$2:$B$151=TRUE())*ISNUMBER(PriceMetrics!$K$2:$K$151)))))+IF(ISNUMBER(PriceMetrics!L16),10*PriceMetrics!L16,0)))</f>
        <v>50</v>
      </c>
      <c r="I16" s="5" t="n">
        <f aca="false">0.6*IF(NOT(ISNUMBER(PriceMetrics!P16)),50,100*(SUMPRODUCT(($B$2:$B$151=TRUE())*ISNUMBER(PriceMetrics!$P$2:$P$151)*(PriceMetrics!$P$2:$P$151&lt;PriceMetrics!P16))/MAX(1,SUMPRODUCT(($B$2:$B$151=TRUE())*ISNUMBER(PriceMetrics!$P$2:$P$151)))))+0.4*IF(NOT(ISNUMBER(PriceMetrics!H16)),50,IF(PriceMetrics!H16&gt;70,40,IF(PriceMetrics!H16&gt;=50,100,IF(PriceMetrics!H16&gt;=35,60,30))))</f>
        <v>50</v>
      </c>
      <c r="J16" s="5" t="n">
        <f aca="false">AVERAGE(IF(NOT(ISNUMBER(PriceMetrics!F16)),50,100*(1-(SUMPRODUCT(($B$2:$B$151=TRUE())*ISNUMBER(PriceMetrics!$F$2:$F$151)*(PriceMetrics!$F$2:$F$151&lt;PriceMetrics!F16))/MAX(1,SUMPRODUCT(($B$2:$B$151=TRUE())*ISNUMBER(PriceMetrics!$F$2:$F$151)))))),IF(NOT(ISNUMBER(PriceMetrics!G16)),50,100*(1-(SUMPRODUCT(($B$2:$B$151=TRUE())*ISNUMBER(PriceMetrics!$G$2:$G$151)*(ABS(PriceMetrics!$G$2:$G$151)&lt;ABS(PriceMetrics!G16)))/MAX(1,SUMPRODUCT(($B$2:$B$151=TRUE())*ISNUMBER(PriceMetrics!$G$2:$G$151)))))))</f>
        <v>50</v>
      </c>
      <c r="K16" s="5" t="n">
        <f aca="false">AVERAGE(H16:J16)</f>
        <v>50</v>
      </c>
      <c r="L16" s="8" t="n">
        <f aca="false">Macro!$B$26</f>
        <v>53.5</v>
      </c>
      <c r="M16" s="5" t="n">
        <f aca="false">Control!$B$3*100*G16/100+Control!$B$4*K16+Control!$B$5*L16</f>
        <v>50.7</v>
      </c>
      <c r="N16" s="3" t="n">
        <f aca="false">M16+ROW()/1000000</f>
        <v>50.700016</v>
      </c>
      <c r="O16" s="5" t="n">
        <f aca="false">M16-IF(AND(Tickers!D16="SMALLCAP100",Macro!$B$26&lt;40),Control!$B$11,0)</f>
        <v>50.7</v>
      </c>
      <c r="P16" s="3" t="str">
        <f aca="false">IF(B16=FALSE(),"-",IF(O16&gt;=Control!$B$7,"BUY",IF(O16&gt;=Control!$B$8,"ACCUMULATE",IF(O16&gt;=Control!$B$9,"HOLD","AVOID"))))</f>
        <v>HOLD</v>
      </c>
      <c r="Q16" s="3" t="str">
        <f aca="false">IF(B16=FALSE(),"",IF(OR(O16&gt;=72,O16&lt;=32),"High",IF(OR(O16&gt;=62,O16&lt;=42),"Medium","Low")))</f>
        <v>Low</v>
      </c>
      <c r="R16" s="12" t="n">
        <f aca="false">IF(P16="BUY",Control!$B$12,IF(P16="ACCUMULATE",Control!$B$13,0))</f>
        <v>0</v>
      </c>
      <c r="S16" s="3" t="str">
        <f aca="false">IF(B16=FALSE(),"",IF(T16=C16,"Rich valuation",IF(T16=E16,"Weak growth",IF(T16=F16,"Balance-sheet leverage",IF(T16=I16,"Negative momentum","High volatility/drawdown")))))</f>
        <v>Rich valuation</v>
      </c>
      <c r="T16" s="3" t="n">
        <f aca="false">MIN(C16,E16,F16,I16,J16)</f>
        <v>50</v>
      </c>
      <c r="U16" s="3" t="n">
        <f aca="false">IF(B16=TRUE(),N16,-1000+ROW()/1000000)</f>
        <v>50.700016</v>
      </c>
    </row>
    <row r="17" customFormat="false" ht="15" hidden="false" customHeight="false" outlineLevel="0" collapsed="false">
      <c r="A17" s="7" t="str">
        <f aca="false">Tickers!A17</f>
        <v>GMRAIRPORT</v>
      </c>
      <c r="B17" s="19" t="b">
        <f aca="false">Tickers!F17</f>
        <v>1</v>
      </c>
      <c r="C17" s="5" t="n">
        <f aca="false">AVERAGE(IF(NOT(ISNUMBER(Fundamentals!C17)),50,IF(Fundamentals!C17&lt;=0,15,100*(1-(SUMPRODUCT(($B$2:$B$151=TRUE())*ISNUMBER(Fundamentals!$C$2:$C$151)*(Fundamentals!$C$2:$C$151&gt;0)*(Fundamentals!$C$2:$C$151&lt;Fundamentals!C17))/MAX(1,SUMPRODUCT(($B$2:$B$151=TRUE())*ISNUMBER(Fundamentals!$C$2:$C$151)*(Fundamentals!$C$2:$C$151&gt;0))))))),IF(NOT(ISNUMBER(Fundamentals!E17)),50,IF(Fundamentals!E17&lt;=0,15,100*(1-(SUMPRODUCT(($B$2:$B$151=TRUE())*ISNUMBER(Fundamentals!$E$2:$E$151)*(Fundamentals!$E$2:$E$151&gt;0)*(Fundamentals!$E$2:$E$151&lt;Fundamentals!E17))/MAX(1,SUMPRODUCT(($B$2:$B$151=TRUE())*ISNUMBER(Fundamentals!$E$2:$E$151)*(Fundamentals!$E$2:$E$151&gt;0))))))))</f>
        <v>50</v>
      </c>
      <c r="D17" s="5" t="n">
        <f aca="false">AVERAGE(IF(NOT(ISNUMBER(Fundamentals!F17)),50,100*(SUMPRODUCT(($B$2:$B$151=TRUE())*ISNUMBER(Fundamentals!$F$2:$F$151)*(Fundamentals!$F$2:$F$151&lt;Fundamentals!F17))/MAX(1,SUMPRODUCT(($B$2:$B$151=TRUE())*ISNUMBER(Fundamentals!$F$2:$F$151))))),IF(NOT(ISNUMBER(Fundamentals!J17)),50,100*(SUMPRODUCT(($B$2:$B$151=TRUE())*ISNUMBER(Fundamentals!$J$2:$J$151)*(Fundamentals!$J$2:$J$151&lt;Fundamentals!J17))/MAX(1,SUMPRODUCT(($B$2:$B$151=TRUE())*ISNUMBER(Fundamentals!$J$2:$J$151))))))</f>
        <v>50</v>
      </c>
      <c r="E17" s="5" t="n">
        <f aca="false">AVERAGE(IF(NOT(ISNUMBER(Fundamentals!H17)),50,100*(SUMPRODUCT(($B$2:$B$151=TRUE())*ISNUMBER(Fundamentals!$H$2:$H$151)*(Fundamentals!$H$2:$H$151&lt;Fundamentals!H17))/MAX(1,SUMPRODUCT(($B$2:$B$151=TRUE())*ISNUMBER(Fundamentals!$H$2:$H$151))))),IF(NOT(ISNUMBER(Fundamentals!I17)),50,100*(SUMPRODUCT(($B$2:$B$151=TRUE())*ISNUMBER(Fundamentals!$I$2:$I$151)*(Fundamentals!$I$2:$I$151&lt;Fundamentals!I17))/MAX(1,SUMPRODUCT(($B$2:$B$151=TRUE())*ISNUMBER(Fundamentals!$I$2:$I$151))))))</f>
        <v>50</v>
      </c>
      <c r="F17" s="5" t="n">
        <f aca="false">IF(Tickers!C17="Financial Services",50,IF(NOT(ISNUMBER(Fundamentals!G17)),50,100*(1-(SUMPRODUCT(($B$2:$B$151=TRUE())*ISNUMBER(Fundamentals!$G$2:$G$151)*(Fundamentals!$G$2:$G$151&lt;Fundamentals!G17))/MAX(1,SUMPRODUCT(($B$2:$B$151=TRUE())*ISNUMBER(Fundamentals!$G$2:$G$151)))))))</f>
        <v>50</v>
      </c>
      <c r="G17" s="5" t="n">
        <f aca="false">AVERAGE(C17:F17)</f>
        <v>50</v>
      </c>
      <c r="H17" s="5" t="n">
        <f aca="false">MIN(100,MAX(0,IF(NOT(ISNUMBER(PriceMetrics!K17)),50,100*(SUMPRODUCT(($B$2:$B$151=TRUE())*ISNUMBER(PriceMetrics!$K$2:$K$151)*(PriceMetrics!$K$2:$K$151&lt;PriceMetrics!K17))/MAX(1,SUMPRODUCT(($B$2:$B$151=TRUE())*ISNUMBER(PriceMetrics!$K$2:$K$151)))))+IF(ISNUMBER(PriceMetrics!L17),10*PriceMetrics!L17,0)))</f>
        <v>50</v>
      </c>
      <c r="I17" s="5" t="n">
        <f aca="false">0.6*IF(NOT(ISNUMBER(PriceMetrics!P17)),50,100*(SUMPRODUCT(($B$2:$B$151=TRUE())*ISNUMBER(PriceMetrics!$P$2:$P$151)*(PriceMetrics!$P$2:$P$151&lt;PriceMetrics!P17))/MAX(1,SUMPRODUCT(($B$2:$B$151=TRUE())*ISNUMBER(PriceMetrics!$P$2:$P$151)))))+0.4*IF(NOT(ISNUMBER(PriceMetrics!H17)),50,IF(PriceMetrics!H17&gt;70,40,IF(PriceMetrics!H17&gt;=50,100,IF(PriceMetrics!H17&gt;=35,60,30))))</f>
        <v>50</v>
      </c>
      <c r="J17" s="5" t="n">
        <f aca="false">AVERAGE(IF(NOT(ISNUMBER(PriceMetrics!F17)),50,100*(1-(SUMPRODUCT(($B$2:$B$151=TRUE())*ISNUMBER(PriceMetrics!$F$2:$F$151)*(PriceMetrics!$F$2:$F$151&lt;PriceMetrics!F17))/MAX(1,SUMPRODUCT(($B$2:$B$151=TRUE())*ISNUMBER(PriceMetrics!$F$2:$F$151)))))),IF(NOT(ISNUMBER(PriceMetrics!G17)),50,100*(1-(SUMPRODUCT(($B$2:$B$151=TRUE())*ISNUMBER(PriceMetrics!$G$2:$G$151)*(ABS(PriceMetrics!$G$2:$G$151)&lt;ABS(PriceMetrics!G17)))/MAX(1,SUMPRODUCT(($B$2:$B$151=TRUE())*ISNUMBER(PriceMetrics!$G$2:$G$151)))))))</f>
        <v>50</v>
      </c>
      <c r="K17" s="5" t="n">
        <f aca="false">AVERAGE(H17:J17)</f>
        <v>50</v>
      </c>
      <c r="L17" s="8" t="n">
        <f aca="false">Macro!$B$26</f>
        <v>53.5</v>
      </c>
      <c r="M17" s="5" t="n">
        <f aca="false">Control!$B$3*100*G17/100+Control!$B$4*K17+Control!$B$5*L17</f>
        <v>50.7</v>
      </c>
      <c r="N17" s="3" t="n">
        <f aca="false">M17+ROW()/1000000</f>
        <v>50.700017</v>
      </c>
      <c r="O17" s="5" t="n">
        <f aca="false">M17-IF(AND(Tickers!D17="SMALLCAP100",Macro!$B$26&lt;40),Control!$B$11,0)</f>
        <v>50.7</v>
      </c>
      <c r="P17" s="3" t="str">
        <f aca="false">IF(B17=FALSE(),"-",IF(O17&gt;=Control!$B$7,"BUY",IF(O17&gt;=Control!$B$8,"ACCUMULATE",IF(O17&gt;=Control!$B$9,"HOLD","AVOID"))))</f>
        <v>HOLD</v>
      </c>
      <c r="Q17" s="3" t="str">
        <f aca="false">IF(B17=FALSE(),"",IF(OR(O17&gt;=72,O17&lt;=32),"High",IF(OR(O17&gt;=62,O17&lt;=42),"Medium","Low")))</f>
        <v>Low</v>
      </c>
      <c r="R17" s="12" t="n">
        <f aca="false">IF(P17="BUY",Control!$B$12,IF(P17="ACCUMULATE",Control!$B$13,0))</f>
        <v>0</v>
      </c>
      <c r="S17" s="3" t="str">
        <f aca="false">IF(B17=FALSE(),"",IF(T17=C17,"Rich valuation",IF(T17=E17,"Weak growth",IF(T17=F17,"Balance-sheet leverage",IF(T17=I17,"Negative momentum","High volatility/drawdown")))))</f>
        <v>Rich valuation</v>
      </c>
      <c r="T17" s="3" t="n">
        <f aca="false">MIN(C17,E17,F17,I17,J17)</f>
        <v>50</v>
      </c>
      <c r="U17" s="3" t="n">
        <f aca="false">IF(B17=TRUE(),N17,-1000+ROW()/1000000)</f>
        <v>50.700017</v>
      </c>
    </row>
    <row r="18" customFormat="false" ht="15" hidden="false" customHeight="false" outlineLevel="0" collapsed="false">
      <c r="A18" s="7" t="str">
        <f aca="false">Tickers!A18</f>
        <v>GODREJPROP</v>
      </c>
      <c r="B18" s="19" t="b">
        <f aca="false">Tickers!F18</f>
        <v>1</v>
      </c>
      <c r="C18" s="5" t="n">
        <f aca="false">AVERAGE(IF(NOT(ISNUMBER(Fundamentals!C18)),50,IF(Fundamentals!C18&lt;=0,15,100*(1-(SUMPRODUCT(($B$2:$B$151=TRUE())*ISNUMBER(Fundamentals!$C$2:$C$151)*(Fundamentals!$C$2:$C$151&gt;0)*(Fundamentals!$C$2:$C$151&lt;Fundamentals!C18))/MAX(1,SUMPRODUCT(($B$2:$B$151=TRUE())*ISNUMBER(Fundamentals!$C$2:$C$151)*(Fundamentals!$C$2:$C$151&gt;0))))))),IF(NOT(ISNUMBER(Fundamentals!E18)),50,IF(Fundamentals!E18&lt;=0,15,100*(1-(SUMPRODUCT(($B$2:$B$151=TRUE())*ISNUMBER(Fundamentals!$E$2:$E$151)*(Fundamentals!$E$2:$E$151&gt;0)*(Fundamentals!$E$2:$E$151&lt;Fundamentals!E18))/MAX(1,SUMPRODUCT(($B$2:$B$151=TRUE())*ISNUMBER(Fundamentals!$E$2:$E$151)*(Fundamentals!$E$2:$E$151&gt;0))))))))</f>
        <v>50</v>
      </c>
      <c r="D18" s="5" t="n">
        <f aca="false">AVERAGE(IF(NOT(ISNUMBER(Fundamentals!F18)),50,100*(SUMPRODUCT(($B$2:$B$151=TRUE())*ISNUMBER(Fundamentals!$F$2:$F$151)*(Fundamentals!$F$2:$F$151&lt;Fundamentals!F18))/MAX(1,SUMPRODUCT(($B$2:$B$151=TRUE())*ISNUMBER(Fundamentals!$F$2:$F$151))))),IF(NOT(ISNUMBER(Fundamentals!J18)),50,100*(SUMPRODUCT(($B$2:$B$151=TRUE())*ISNUMBER(Fundamentals!$J$2:$J$151)*(Fundamentals!$J$2:$J$151&lt;Fundamentals!J18))/MAX(1,SUMPRODUCT(($B$2:$B$151=TRUE())*ISNUMBER(Fundamentals!$J$2:$J$151))))))</f>
        <v>50</v>
      </c>
      <c r="E18" s="5" t="n">
        <f aca="false">AVERAGE(IF(NOT(ISNUMBER(Fundamentals!H18)),50,100*(SUMPRODUCT(($B$2:$B$151=TRUE())*ISNUMBER(Fundamentals!$H$2:$H$151)*(Fundamentals!$H$2:$H$151&lt;Fundamentals!H18))/MAX(1,SUMPRODUCT(($B$2:$B$151=TRUE())*ISNUMBER(Fundamentals!$H$2:$H$151))))),IF(NOT(ISNUMBER(Fundamentals!I18)),50,100*(SUMPRODUCT(($B$2:$B$151=TRUE())*ISNUMBER(Fundamentals!$I$2:$I$151)*(Fundamentals!$I$2:$I$151&lt;Fundamentals!I18))/MAX(1,SUMPRODUCT(($B$2:$B$151=TRUE())*ISNUMBER(Fundamentals!$I$2:$I$151))))))</f>
        <v>50</v>
      </c>
      <c r="F18" s="5" t="n">
        <f aca="false">IF(Tickers!C18="Financial Services",50,IF(NOT(ISNUMBER(Fundamentals!G18)),50,100*(1-(SUMPRODUCT(($B$2:$B$151=TRUE())*ISNUMBER(Fundamentals!$G$2:$G$151)*(Fundamentals!$G$2:$G$151&lt;Fundamentals!G18))/MAX(1,SUMPRODUCT(($B$2:$B$151=TRUE())*ISNUMBER(Fundamentals!$G$2:$G$151)))))))</f>
        <v>50</v>
      </c>
      <c r="G18" s="5" t="n">
        <f aca="false">AVERAGE(C18:F18)</f>
        <v>50</v>
      </c>
      <c r="H18" s="5" t="n">
        <f aca="false">MIN(100,MAX(0,IF(NOT(ISNUMBER(PriceMetrics!K18)),50,100*(SUMPRODUCT(($B$2:$B$151=TRUE())*ISNUMBER(PriceMetrics!$K$2:$K$151)*(PriceMetrics!$K$2:$K$151&lt;PriceMetrics!K18))/MAX(1,SUMPRODUCT(($B$2:$B$151=TRUE())*ISNUMBER(PriceMetrics!$K$2:$K$151)))))+IF(ISNUMBER(PriceMetrics!L18),10*PriceMetrics!L18,0)))</f>
        <v>50</v>
      </c>
      <c r="I18" s="5" t="n">
        <f aca="false">0.6*IF(NOT(ISNUMBER(PriceMetrics!P18)),50,100*(SUMPRODUCT(($B$2:$B$151=TRUE())*ISNUMBER(PriceMetrics!$P$2:$P$151)*(PriceMetrics!$P$2:$P$151&lt;PriceMetrics!P18))/MAX(1,SUMPRODUCT(($B$2:$B$151=TRUE())*ISNUMBER(PriceMetrics!$P$2:$P$151)))))+0.4*IF(NOT(ISNUMBER(PriceMetrics!H18)),50,IF(PriceMetrics!H18&gt;70,40,IF(PriceMetrics!H18&gt;=50,100,IF(PriceMetrics!H18&gt;=35,60,30))))</f>
        <v>50</v>
      </c>
      <c r="J18" s="5" t="n">
        <f aca="false">AVERAGE(IF(NOT(ISNUMBER(PriceMetrics!F18)),50,100*(1-(SUMPRODUCT(($B$2:$B$151=TRUE())*ISNUMBER(PriceMetrics!$F$2:$F$151)*(PriceMetrics!$F$2:$F$151&lt;PriceMetrics!F18))/MAX(1,SUMPRODUCT(($B$2:$B$151=TRUE())*ISNUMBER(PriceMetrics!$F$2:$F$151)))))),IF(NOT(ISNUMBER(PriceMetrics!G18)),50,100*(1-(SUMPRODUCT(($B$2:$B$151=TRUE())*ISNUMBER(PriceMetrics!$G$2:$G$151)*(ABS(PriceMetrics!$G$2:$G$151)&lt;ABS(PriceMetrics!G18)))/MAX(1,SUMPRODUCT(($B$2:$B$151=TRUE())*ISNUMBER(PriceMetrics!$G$2:$G$151)))))))</f>
        <v>50</v>
      </c>
      <c r="K18" s="5" t="n">
        <f aca="false">AVERAGE(H18:J18)</f>
        <v>50</v>
      </c>
      <c r="L18" s="8" t="n">
        <f aca="false">Macro!$B$26</f>
        <v>53.5</v>
      </c>
      <c r="M18" s="5" t="n">
        <f aca="false">Control!$B$3*100*G18/100+Control!$B$4*K18+Control!$B$5*L18</f>
        <v>50.7</v>
      </c>
      <c r="N18" s="3" t="n">
        <f aca="false">M18+ROW()/1000000</f>
        <v>50.700018</v>
      </c>
      <c r="O18" s="5" t="n">
        <f aca="false">M18-IF(AND(Tickers!D18="SMALLCAP100",Macro!$B$26&lt;40),Control!$B$11,0)</f>
        <v>50.7</v>
      </c>
      <c r="P18" s="3" t="str">
        <f aca="false">IF(B18=FALSE(),"-",IF(O18&gt;=Control!$B$7,"BUY",IF(O18&gt;=Control!$B$8,"ACCUMULATE",IF(O18&gt;=Control!$B$9,"HOLD","AVOID"))))</f>
        <v>HOLD</v>
      </c>
      <c r="Q18" s="3" t="str">
        <f aca="false">IF(B18=FALSE(),"",IF(OR(O18&gt;=72,O18&lt;=32),"High",IF(OR(O18&gt;=62,O18&lt;=42),"Medium","Low")))</f>
        <v>Low</v>
      </c>
      <c r="R18" s="12" t="n">
        <f aca="false">IF(P18="BUY",Control!$B$12,IF(P18="ACCUMULATE",Control!$B$13,0))</f>
        <v>0</v>
      </c>
      <c r="S18" s="3" t="str">
        <f aca="false">IF(B18=FALSE(),"",IF(T18=C18,"Rich valuation",IF(T18=E18,"Weak growth",IF(T18=F18,"Balance-sheet leverage",IF(T18=I18,"Negative momentum","High volatility/drawdown")))))</f>
        <v>Rich valuation</v>
      </c>
      <c r="T18" s="3" t="n">
        <f aca="false">MIN(C18,E18,F18,I18,J18)</f>
        <v>50</v>
      </c>
      <c r="U18" s="3" t="n">
        <f aca="false">IF(B18=TRUE(),N18,-1000+ROW()/1000000)</f>
        <v>50.700018</v>
      </c>
    </row>
    <row r="19" customFormat="false" ht="15" hidden="false" customHeight="false" outlineLevel="0" collapsed="false">
      <c r="A19" s="7" t="str">
        <f aca="false">Tickers!A19</f>
        <v>HAVELLS</v>
      </c>
      <c r="B19" s="19" t="b">
        <f aca="false">Tickers!F19</f>
        <v>1</v>
      </c>
      <c r="C19" s="5" t="n">
        <f aca="false">AVERAGE(IF(NOT(ISNUMBER(Fundamentals!C19)),50,IF(Fundamentals!C19&lt;=0,15,100*(1-(SUMPRODUCT(($B$2:$B$151=TRUE())*ISNUMBER(Fundamentals!$C$2:$C$151)*(Fundamentals!$C$2:$C$151&gt;0)*(Fundamentals!$C$2:$C$151&lt;Fundamentals!C19))/MAX(1,SUMPRODUCT(($B$2:$B$151=TRUE())*ISNUMBER(Fundamentals!$C$2:$C$151)*(Fundamentals!$C$2:$C$151&gt;0))))))),IF(NOT(ISNUMBER(Fundamentals!E19)),50,IF(Fundamentals!E19&lt;=0,15,100*(1-(SUMPRODUCT(($B$2:$B$151=TRUE())*ISNUMBER(Fundamentals!$E$2:$E$151)*(Fundamentals!$E$2:$E$151&gt;0)*(Fundamentals!$E$2:$E$151&lt;Fundamentals!E19))/MAX(1,SUMPRODUCT(($B$2:$B$151=TRUE())*ISNUMBER(Fundamentals!$E$2:$E$151)*(Fundamentals!$E$2:$E$151&gt;0))))))))</f>
        <v>50</v>
      </c>
      <c r="D19" s="5" t="n">
        <f aca="false">AVERAGE(IF(NOT(ISNUMBER(Fundamentals!F19)),50,100*(SUMPRODUCT(($B$2:$B$151=TRUE())*ISNUMBER(Fundamentals!$F$2:$F$151)*(Fundamentals!$F$2:$F$151&lt;Fundamentals!F19))/MAX(1,SUMPRODUCT(($B$2:$B$151=TRUE())*ISNUMBER(Fundamentals!$F$2:$F$151))))),IF(NOT(ISNUMBER(Fundamentals!J19)),50,100*(SUMPRODUCT(($B$2:$B$151=TRUE())*ISNUMBER(Fundamentals!$J$2:$J$151)*(Fundamentals!$J$2:$J$151&lt;Fundamentals!J19))/MAX(1,SUMPRODUCT(($B$2:$B$151=TRUE())*ISNUMBER(Fundamentals!$J$2:$J$151))))))</f>
        <v>50</v>
      </c>
      <c r="E19" s="5" t="n">
        <f aca="false">AVERAGE(IF(NOT(ISNUMBER(Fundamentals!H19)),50,100*(SUMPRODUCT(($B$2:$B$151=TRUE())*ISNUMBER(Fundamentals!$H$2:$H$151)*(Fundamentals!$H$2:$H$151&lt;Fundamentals!H19))/MAX(1,SUMPRODUCT(($B$2:$B$151=TRUE())*ISNUMBER(Fundamentals!$H$2:$H$151))))),IF(NOT(ISNUMBER(Fundamentals!I19)),50,100*(SUMPRODUCT(($B$2:$B$151=TRUE())*ISNUMBER(Fundamentals!$I$2:$I$151)*(Fundamentals!$I$2:$I$151&lt;Fundamentals!I19))/MAX(1,SUMPRODUCT(($B$2:$B$151=TRUE())*ISNUMBER(Fundamentals!$I$2:$I$151))))))</f>
        <v>50</v>
      </c>
      <c r="F19" s="5" t="n">
        <f aca="false">IF(Tickers!C19="Financial Services",50,IF(NOT(ISNUMBER(Fundamentals!G19)),50,100*(1-(SUMPRODUCT(($B$2:$B$151=TRUE())*ISNUMBER(Fundamentals!$G$2:$G$151)*(Fundamentals!$G$2:$G$151&lt;Fundamentals!G19))/MAX(1,SUMPRODUCT(($B$2:$B$151=TRUE())*ISNUMBER(Fundamentals!$G$2:$G$151)))))))</f>
        <v>50</v>
      </c>
      <c r="G19" s="5" t="n">
        <f aca="false">AVERAGE(C19:F19)</f>
        <v>50</v>
      </c>
      <c r="H19" s="5" t="n">
        <f aca="false">MIN(100,MAX(0,IF(NOT(ISNUMBER(PriceMetrics!K19)),50,100*(SUMPRODUCT(($B$2:$B$151=TRUE())*ISNUMBER(PriceMetrics!$K$2:$K$151)*(PriceMetrics!$K$2:$K$151&lt;PriceMetrics!K19))/MAX(1,SUMPRODUCT(($B$2:$B$151=TRUE())*ISNUMBER(PriceMetrics!$K$2:$K$151)))))+IF(ISNUMBER(PriceMetrics!L19),10*PriceMetrics!L19,0)))</f>
        <v>50</v>
      </c>
      <c r="I19" s="5" t="n">
        <f aca="false">0.6*IF(NOT(ISNUMBER(PriceMetrics!P19)),50,100*(SUMPRODUCT(($B$2:$B$151=TRUE())*ISNUMBER(PriceMetrics!$P$2:$P$151)*(PriceMetrics!$P$2:$P$151&lt;PriceMetrics!P19))/MAX(1,SUMPRODUCT(($B$2:$B$151=TRUE())*ISNUMBER(PriceMetrics!$P$2:$P$151)))))+0.4*IF(NOT(ISNUMBER(PriceMetrics!H19)),50,IF(PriceMetrics!H19&gt;70,40,IF(PriceMetrics!H19&gt;=50,100,IF(PriceMetrics!H19&gt;=35,60,30))))</f>
        <v>50</v>
      </c>
      <c r="J19" s="5" t="n">
        <f aca="false">AVERAGE(IF(NOT(ISNUMBER(PriceMetrics!F19)),50,100*(1-(SUMPRODUCT(($B$2:$B$151=TRUE())*ISNUMBER(PriceMetrics!$F$2:$F$151)*(PriceMetrics!$F$2:$F$151&lt;PriceMetrics!F19))/MAX(1,SUMPRODUCT(($B$2:$B$151=TRUE())*ISNUMBER(PriceMetrics!$F$2:$F$151)))))),IF(NOT(ISNUMBER(PriceMetrics!G19)),50,100*(1-(SUMPRODUCT(($B$2:$B$151=TRUE())*ISNUMBER(PriceMetrics!$G$2:$G$151)*(ABS(PriceMetrics!$G$2:$G$151)&lt;ABS(PriceMetrics!G19)))/MAX(1,SUMPRODUCT(($B$2:$B$151=TRUE())*ISNUMBER(PriceMetrics!$G$2:$G$151)))))))</f>
        <v>50</v>
      </c>
      <c r="K19" s="5" t="n">
        <f aca="false">AVERAGE(H19:J19)</f>
        <v>50</v>
      </c>
      <c r="L19" s="8" t="n">
        <f aca="false">Macro!$B$26</f>
        <v>53.5</v>
      </c>
      <c r="M19" s="5" t="n">
        <f aca="false">Control!$B$3*100*G19/100+Control!$B$4*K19+Control!$B$5*L19</f>
        <v>50.7</v>
      </c>
      <c r="N19" s="3" t="n">
        <f aca="false">M19+ROW()/1000000</f>
        <v>50.700019</v>
      </c>
      <c r="O19" s="5" t="n">
        <f aca="false">M19-IF(AND(Tickers!D19="SMALLCAP100",Macro!$B$26&lt;40),Control!$B$11,0)</f>
        <v>50.7</v>
      </c>
      <c r="P19" s="3" t="str">
        <f aca="false">IF(B19=FALSE(),"-",IF(O19&gt;=Control!$B$7,"BUY",IF(O19&gt;=Control!$B$8,"ACCUMULATE",IF(O19&gt;=Control!$B$9,"HOLD","AVOID"))))</f>
        <v>HOLD</v>
      </c>
      <c r="Q19" s="3" t="str">
        <f aca="false">IF(B19=FALSE(),"",IF(OR(O19&gt;=72,O19&lt;=32),"High",IF(OR(O19&gt;=62,O19&lt;=42),"Medium","Low")))</f>
        <v>Low</v>
      </c>
      <c r="R19" s="12" t="n">
        <f aca="false">IF(P19="BUY",Control!$B$12,IF(P19="ACCUMULATE",Control!$B$13,0))</f>
        <v>0</v>
      </c>
      <c r="S19" s="3" t="str">
        <f aca="false">IF(B19=FALSE(),"",IF(T19=C19,"Rich valuation",IF(T19=E19,"Weak growth",IF(T19=F19,"Balance-sheet leverage",IF(T19=I19,"Negative momentum","High volatility/drawdown")))))</f>
        <v>Rich valuation</v>
      </c>
      <c r="T19" s="3" t="n">
        <f aca="false">MIN(C19,E19,F19,I19,J19)</f>
        <v>50</v>
      </c>
      <c r="U19" s="3" t="n">
        <f aca="false">IF(B19=TRUE(),N19,-1000+ROW()/1000000)</f>
        <v>50.700019</v>
      </c>
    </row>
    <row r="20" customFormat="false" ht="15" hidden="false" customHeight="false" outlineLevel="0" collapsed="false">
      <c r="A20" s="7" t="str">
        <f aca="false">Tickers!A20</f>
        <v>HEROMOTOCO</v>
      </c>
      <c r="B20" s="19" t="b">
        <f aca="false">Tickers!F20</f>
        <v>1</v>
      </c>
      <c r="C20" s="5" t="n">
        <f aca="false">AVERAGE(IF(NOT(ISNUMBER(Fundamentals!C20)),50,IF(Fundamentals!C20&lt;=0,15,100*(1-(SUMPRODUCT(($B$2:$B$151=TRUE())*ISNUMBER(Fundamentals!$C$2:$C$151)*(Fundamentals!$C$2:$C$151&gt;0)*(Fundamentals!$C$2:$C$151&lt;Fundamentals!C20))/MAX(1,SUMPRODUCT(($B$2:$B$151=TRUE())*ISNUMBER(Fundamentals!$C$2:$C$151)*(Fundamentals!$C$2:$C$151&gt;0))))))),IF(NOT(ISNUMBER(Fundamentals!E20)),50,IF(Fundamentals!E20&lt;=0,15,100*(1-(SUMPRODUCT(($B$2:$B$151=TRUE())*ISNUMBER(Fundamentals!$E$2:$E$151)*(Fundamentals!$E$2:$E$151&gt;0)*(Fundamentals!$E$2:$E$151&lt;Fundamentals!E20))/MAX(1,SUMPRODUCT(($B$2:$B$151=TRUE())*ISNUMBER(Fundamentals!$E$2:$E$151)*(Fundamentals!$E$2:$E$151&gt;0))))))))</f>
        <v>50</v>
      </c>
      <c r="D20" s="5" t="n">
        <f aca="false">AVERAGE(IF(NOT(ISNUMBER(Fundamentals!F20)),50,100*(SUMPRODUCT(($B$2:$B$151=TRUE())*ISNUMBER(Fundamentals!$F$2:$F$151)*(Fundamentals!$F$2:$F$151&lt;Fundamentals!F20))/MAX(1,SUMPRODUCT(($B$2:$B$151=TRUE())*ISNUMBER(Fundamentals!$F$2:$F$151))))),IF(NOT(ISNUMBER(Fundamentals!J20)),50,100*(SUMPRODUCT(($B$2:$B$151=TRUE())*ISNUMBER(Fundamentals!$J$2:$J$151)*(Fundamentals!$J$2:$J$151&lt;Fundamentals!J20))/MAX(1,SUMPRODUCT(($B$2:$B$151=TRUE())*ISNUMBER(Fundamentals!$J$2:$J$151))))))</f>
        <v>50</v>
      </c>
      <c r="E20" s="5" t="n">
        <f aca="false">AVERAGE(IF(NOT(ISNUMBER(Fundamentals!H20)),50,100*(SUMPRODUCT(($B$2:$B$151=TRUE())*ISNUMBER(Fundamentals!$H$2:$H$151)*(Fundamentals!$H$2:$H$151&lt;Fundamentals!H20))/MAX(1,SUMPRODUCT(($B$2:$B$151=TRUE())*ISNUMBER(Fundamentals!$H$2:$H$151))))),IF(NOT(ISNUMBER(Fundamentals!I20)),50,100*(SUMPRODUCT(($B$2:$B$151=TRUE())*ISNUMBER(Fundamentals!$I$2:$I$151)*(Fundamentals!$I$2:$I$151&lt;Fundamentals!I20))/MAX(1,SUMPRODUCT(($B$2:$B$151=TRUE())*ISNUMBER(Fundamentals!$I$2:$I$151))))))</f>
        <v>50</v>
      </c>
      <c r="F20" s="5" t="n">
        <f aca="false">IF(Tickers!C20="Financial Services",50,IF(NOT(ISNUMBER(Fundamentals!G20)),50,100*(1-(SUMPRODUCT(($B$2:$B$151=TRUE())*ISNUMBER(Fundamentals!$G$2:$G$151)*(Fundamentals!$G$2:$G$151&lt;Fundamentals!G20))/MAX(1,SUMPRODUCT(($B$2:$B$151=TRUE())*ISNUMBER(Fundamentals!$G$2:$G$151)))))))</f>
        <v>50</v>
      </c>
      <c r="G20" s="5" t="n">
        <f aca="false">AVERAGE(C20:F20)</f>
        <v>50</v>
      </c>
      <c r="H20" s="5" t="n">
        <f aca="false">MIN(100,MAX(0,IF(NOT(ISNUMBER(PriceMetrics!K20)),50,100*(SUMPRODUCT(($B$2:$B$151=TRUE())*ISNUMBER(PriceMetrics!$K$2:$K$151)*(PriceMetrics!$K$2:$K$151&lt;PriceMetrics!K20))/MAX(1,SUMPRODUCT(($B$2:$B$151=TRUE())*ISNUMBER(PriceMetrics!$K$2:$K$151)))))+IF(ISNUMBER(PriceMetrics!L20),10*PriceMetrics!L20,0)))</f>
        <v>50</v>
      </c>
      <c r="I20" s="5" t="n">
        <f aca="false">0.6*IF(NOT(ISNUMBER(PriceMetrics!P20)),50,100*(SUMPRODUCT(($B$2:$B$151=TRUE())*ISNUMBER(PriceMetrics!$P$2:$P$151)*(PriceMetrics!$P$2:$P$151&lt;PriceMetrics!P20))/MAX(1,SUMPRODUCT(($B$2:$B$151=TRUE())*ISNUMBER(PriceMetrics!$P$2:$P$151)))))+0.4*IF(NOT(ISNUMBER(PriceMetrics!H20)),50,IF(PriceMetrics!H20&gt;70,40,IF(PriceMetrics!H20&gt;=50,100,IF(PriceMetrics!H20&gt;=35,60,30))))</f>
        <v>50</v>
      </c>
      <c r="J20" s="5" t="n">
        <f aca="false">AVERAGE(IF(NOT(ISNUMBER(PriceMetrics!F20)),50,100*(1-(SUMPRODUCT(($B$2:$B$151=TRUE())*ISNUMBER(PriceMetrics!$F$2:$F$151)*(PriceMetrics!$F$2:$F$151&lt;PriceMetrics!F20))/MAX(1,SUMPRODUCT(($B$2:$B$151=TRUE())*ISNUMBER(PriceMetrics!$F$2:$F$151)))))),IF(NOT(ISNUMBER(PriceMetrics!G20)),50,100*(1-(SUMPRODUCT(($B$2:$B$151=TRUE())*ISNUMBER(PriceMetrics!$G$2:$G$151)*(ABS(PriceMetrics!$G$2:$G$151)&lt;ABS(PriceMetrics!G20)))/MAX(1,SUMPRODUCT(($B$2:$B$151=TRUE())*ISNUMBER(PriceMetrics!$G$2:$G$151)))))))</f>
        <v>50</v>
      </c>
      <c r="K20" s="5" t="n">
        <f aca="false">AVERAGE(H20:J20)</f>
        <v>50</v>
      </c>
      <c r="L20" s="8" t="n">
        <f aca="false">Macro!$B$26</f>
        <v>53.5</v>
      </c>
      <c r="M20" s="5" t="n">
        <f aca="false">Control!$B$3*100*G20/100+Control!$B$4*K20+Control!$B$5*L20</f>
        <v>50.7</v>
      </c>
      <c r="N20" s="3" t="n">
        <f aca="false">M20+ROW()/1000000</f>
        <v>50.70002</v>
      </c>
      <c r="O20" s="5" t="n">
        <f aca="false">M20-IF(AND(Tickers!D20="SMALLCAP100",Macro!$B$26&lt;40),Control!$B$11,0)</f>
        <v>50.7</v>
      </c>
      <c r="P20" s="3" t="str">
        <f aca="false">IF(B20=FALSE(),"-",IF(O20&gt;=Control!$B$7,"BUY",IF(O20&gt;=Control!$B$8,"ACCUMULATE",IF(O20&gt;=Control!$B$9,"HOLD","AVOID"))))</f>
        <v>HOLD</v>
      </c>
      <c r="Q20" s="3" t="str">
        <f aca="false">IF(B20=FALSE(),"",IF(OR(O20&gt;=72,O20&lt;=32),"High",IF(OR(O20&gt;=62,O20&lt;=42),"Medium","Low")))</f>
        <v>Low</v>
      </c>
      <c r="R20" s="12" t="n">
        <f aca="false">IF(P20="BUY",Control!$B$12,IF(P20="ACCUMULATE",Control!$B$13,0))</f>
        <v>0</v>
      </c>
      <c r="S20" s="3" t="str">
        <f aca="false">IF(B20=FALSE(),"",IF(T20=C20,"Rich valuation",IF(T20=E20,"Weak growth",IF(T20=F20,"Balance-sheet leverage",IF(T20=I20,"Negative momentum","High volatility/drawdown")))))</f>
        <v>Rich valuation</v>
      </c>
      <c r="T20" s="3" t="n">
        <f aca="false">MIN(C20,E20,F20,I20,J20)</f>
        <v>50</v>
      </c>
      <c r="U20" s="3" t="n">
        <f aca="false">IF(B20=TRUE(),N20,-1000+ROW()/1000000)</f>
        <v>50.70002</v>
      </c>
    </row>
    <row r="21" customFormat="false" ht="15" hidden="false" customHeight="false" outlineLevel="0" collapsed="false">
      <c r="A21" s="7" t="str">
        <f aca="false">Tickers!A21</f>
        <v>HINDPETRO</v>
      </c>
      <c r="B21" s="19" t="b">
        <f aca="false">Tickers!F21</f>
        <v>1</v>
      </c>
      <c r="C21" s="5" t="n">
        <f aca="false">AVERAGE(IF(NOT(ISNUMBER(Fundamentals!C21)),50,IF(Fundamentals!C21&lt;=0,15,100*(1-(SUMPRODUCT(($B$2:$B$151=TRUE())*ISNUMBER(Fundamentals!$C$2:$C$151)*(Fundamentals!$C$2:$C$151&gt;0)*(Fundamentals!$C$2:$C$151&lt;Fundamentals!C21))/MAX(1,SUMPRODUCT(($B$2:$B$151=TRUE())*ISNUMBER(Fundamentals!$C$2:$C$151)*(Fundamentals!$C$2:$C$151&gt;0))))))),IF(NOT(ISNUMBER(Fundamentals!E21)),50,IF(Fundamentals!E21&lt;=0,15,100*(1-(SUMPRODUCT(($B$2:$B$151=TRUE())*ISNUMBER(Fundamentals!$E$2:$E$151)*(Fundamentals!$E$2:$E$151&gt;0)*(Fundamentals!$E$2:$E$151&lt;Fundamentals!E21))/MAX(1,SUMPRODUCT(($B$2:$B$151=TRUE())*ISNUMBER(Fundamentals!$E$2:$E$151)*(Fundamentals!$E$2:$E$151&gt;0))))))))</f>
        <v>50</v>
      </c>
      <c r="D21" s="5" t="n">
        <f aca="false">AVERAGE(IF(NOT(ISNUMBER(Fundamentals!F21)),50,100*(SUMPRODUCT(($B$2:$B$151=TRUE())*ISNUMBER(Fundamentals!$F$2:$F$151)*(Fundamentals!$F$2:$F$151&lt;Fundamentals!F21))/MAX(1,SUMPRODUCT(($B$2:$B$151=TRUE())*ISNUMBER(Fundamentals!$F$2:$F$151))))),IF(NOT(ISNUMBER(Fundamentals!J21)),50,100*(SUMPRODUCT(($B$2:$B$151=TRUE())*ISNUMBER(Fundamentals!$J$2:$J$151)*(Fundamentals!$J$2:$J$151&lt;Fundamentals!J21))/MAX(1,SUMPRODUCT(($B$2:$B$151=TRUE())*ISNUMBER(Fundamentals!$J$2:$J$151))))))</f>
        <v>50</v>
      </c>
      <c r="E21" s="5" t="n">
        <f aca="false">AVERAGE(IF(NOT(ISNUMBER(Fundamentals!H21)),50,100*(SUMPRODUCT(($B$2:$B$151=TRUE())*ISNUMBER(Fundamentals!$H$2:$H$151)*(Fundamentals!$H$2:$H$151&lt;Fundamentals!H21))/MAX(1,SUMPRODUCT(($B$2:$B$151=TRUE())*ISNUMBER(Fundamentals!$H$2:$H$151))))),IF(NOT(ISNUMBER(Fundamentals!I21)),50,100*(SUMPRODUCT(($B$2:$B$151=TRUE())*ISNUMBER(Fundamentals!$I$2:$I$151)*(Fundamentals!$I$2:$I$151&lt;Fundamentals!I21))/MAX(1,SUMPRODUCT(($B$2:$B$151=TRUE())*ISNUMBER(Fundamentals!$I$2:$I$151))))))</f>
        <v>50</v>
      </c>
      <c r="F21" s="5" t="n">
        <f aca="false">IF(Tickers!C21="Financial Services",50,IF(NOT(ISNUMBER(Fundamentals!G21)),50,100*(1-(SUMPRODUCT(($B$2:$B$151=TRUE())*ISNUMBER(Fundamentals!$G$2:$G$151)*(Fundamentals!$G$2:$G$151&lt;Fundamentals!G21))/MAX(1,SUMPRODUCT(($B$2:$B$151=TRUE())*ISNUMBER(Fundamentals!$G$2:$G$151)))))))</f>
        <v>50</v>
      </c>
      <c r="G21" s="5" t="n">
        <f aca="false">AVERAGE(C21:F21)</f>
        <v>50</v>
      </c>
      <c r="H21" s="5" t="n">
        <f aca="false">MIN(100,MAX(0,IF(NOT(ISNUMBER(PriceMetrics!K21)),50,100*(SUMPRODUCT(($B$2:$B$151=TRUE())*ISNUMBER(PriceMetrics!$K$2:$K$151)*(PriceMetrics!$K$2:$K$151&lt;PriceMetrics!K21))/MAX(1,SUMPRODUCT(($B$2:$B$151=TRUE())*ISNUMBER(PriceMetrics!$K$2:$K$151)))))+IF(ISNUMBER(PriceMetrics!L21),10*PriceMetrics!L21,0)))</f>
        <v>50</v>
      </c>
      <c r="I21" s="5" t="n">
        <f aca="false">0.6*IF(NOT(ISNUMBER(PriceMetrics!P21)),50,100*(SUMPRODUCT(($B$2:$B$151=TRUE())*ISNUMBER(PriceMetrics!$P$2:$P$151)*(PriceMetrics!$P$2:$P$151&lt;PriceMetrics!P21))/MAX(1,SUMPRODUCT(($B$2:$B$151=TRUE())*ISNUMBER(PriceMetrics!$P$2:$P$151)))))+0.4*IF(NOT(ISNUMBER(PriceMetrics!H21)),50,IF(PriceMetrics!H21&gt;70,40,IF(PriceMetrics!H21&gt;=50,100,IF(PriceMetrics!H21&gt;=35,60,30))))</f>
        <v>50</v>
      </c>
      <c r="J21" s="5" t="n">
        <f aca="false">AVERAGE(IF(NOT(ISNUMBER(PriceMetrics!F21)),50,100*(1-(SUMPRODUCT(($B$2:$B$151=TRUE())*ISNUMBER(PriceMetrics!$F$2:$F$151)*(PriceMetrics!$F$2:$F$151&lt;PriceMetrics!F21))/MAX(1,SUMPRODUCT(($B$2:$B$151=TRUE())*ISNUMBER(PriceMetrics!$F$2:$F$151)))))),IF(NOT(ISNUMBER(PriceMetrics!G21)),50,100*(1-(SUMPRODUCT(($B$2:$B$151=TRUE())*ISNUMBER(PriceMetrics!$G$2:$G$151)*(ABS(PriceMetrics!$G$2:$G$151)&lt;ABS(PriceMetrics!G21)))/MAX(1,SUMPRODUCT(($B$2:$B$151=TRUE())*ISNUMBER(PriceMetrics!$G$2:$G$151)))))))</f>
        <v>50</v>
      </c>
      <c r="K21" s="5" t="n">
        <f aca="false">AVERAGE(H21:J21)</f>
        <v>50</v>
      </c>
      <c r="L21" s="8" t="n">
        <f aca="false">Macro!$B$26</f>
        <v>53.5</v>
      </c>
      <c r="M21" s="5" t="n">
        <f aca="false">Control!$B$3*100*G21/100+Control!$B$4*K21+Control!$B$5*L21</f>
        <v>50.7</v>
      </c>
      <c r="N21" s="3" t="n">
        <f aca="false">M21+ROW()/1000000</f>
        <v>50.700021</v>
      </c>
      <c r="O21" s="5" t="n">
        <f aca="false">M21-IF(AND(Tickers!D21="SMALLCAP100",Macro!$B$26&lt;40),Control!$B$11,0)</f>
        <v>50.7</v>
      </c>
      <c r="P21" s="3" t="str">
        <f aca="false">IF(B21=FALSE(),"-",IF(O21&gt;=Control!$B$7,"BUY",IF(O21&gt;=Control!$B$8,"ACCUMULATE",IF(O21&gt;=Control!$B$9,"HOLD","AVOID"))))</f>
        <v>HOLD</v>
      </c>
      <c r="Q21" s="3" t="str">
        <f aca="false">IF(B21=FALSE(),"",IF(OR(O21&gt;=72,O21&lt;=32),"High",IF(OR(O21&gt;=62,O21&lt;=42),"Medium","Low")))</f>
        <v>Low</v>
      </c>
      <c r="R21" s="12" t="n">
        <f aca="false">IF(P21="BUY",Control!$B$12,IF(P21="ACCUMULATE",Control!$B$13,0))</f>
        <v>0</v>
      </c>
      <c r="S21" s="3" t="str">
        <f aca="false">IF(B21=FALSE(),"",IF(T21=C21,"Rich valuation",IF(T21=E21,"Weak growth",IF(T21=F21,"Balance-sheet leverage",IF(T21=I21,"Negative momentum","High volatility/drawdown")))))</f>
        <v>Rich valuation</v>
      </c>
      <c r="T21" s="3" t="n">
        <f aca="false">MIN(C21,E21,F21,I21,J21)</f>
        <v>50</v>
      </c>
      <c r="U21" s="3" t="n">
        <f aca="false">IF(B21=TRUE(),N21,-1000+ROW()/1000000)</f>
        <v>50.700021</v>
      </c>
    </row>
    <row r="22" customFormat="false" ht="15" hidden="false" customHeight="false" outlineLevel="0" collapsed="false">
      <c r="A22" s="7" t="str">
        <f aca="false">Tickers!A22</f>
        <v>ICICIGI</v>
      </c>
      <c r="B22" s="19" t="b">
        <f aca="false">Tickers!F22</f>
        <v>1</v>
      </c>
      <c r="C22" s="5" t="n">
        <f aca="false">AVERAGE(IF(NOT(ISNUMBER(Fundamentals!C22)),50,IF(Fundamentals!C22&lt;=0,15,100*(1-(SUMPRODUCT(($B$2:$B$151=TRUE())*ISNUMBER(Fundamentals!$C$2:$C$151)*(Fundamentals!$C$2:$C$151&gt;0)*(Fundamentals!$C$2:$C$151&lt;Fundamentals!C22))/MAX(1,SUMPRODUCT(($B$2:$B$151=TRUE())*ISNUMBER(Fundamentals!$C$2:$C$151)*(Fundamentals!$C$2:$C$151&gt;0))))))),IF(NOT(ISNUMBER(Fundamentals!E22)),50,IF(Fundamentals!E22&lt;=0,15,100*(1-(SUMPRODUCT(($B$2:$B$151=TRUE())*ISNUMBER(Fundamentals!$E$2:$E$151)*(Fundamentals!$E$2:$E$151&gt;0)*(Fundamentals!$E$2:$E$151&lt;Fundamentals!E22))/MAX(1,SUMPRODUCT(($B$2:$B$151=TRUE())*ISNUMBER(Fundamentals!$E$2:$E$151)*(Fundamentals!$E$2:$E$151&gt;0))))))))</f>
        <v>50</v>
      </c>
      <c r="D22" s="5" t="n">
        <f aca="false">AVERAGE(IF(NOT(ISNUMBER(Fundamentals!F22)),50,100*(SUMPRODUCT(($B$2:$B$151=TRUE())*ISNUMBER(Fundamentals!$F$2:$F$151)*(Fundamentals!$F$2:$F$151&lt;Fundamentals!F22))/MAX(1,SUMPRODUCT(($B$2:$B$151=TRUE())*ISNUMBER(Fundamentals!$F$2:$F$151))))),IF(NOT(ISNUMBER(Fundamentals!J22)),50,100*(SUMPRODUCT(($B$2:$B$151=TRUE())*ISNUMBER(Fundamentals!$J$2:$J$151)*(Fundamentals!$J$2:$J$151&lt;Fundamentals!J22))/MAX(1,SUMPRODUCT(($B$2:$B$151=TRUE())*ISNUMBER(Fundamentals!$J$2:$J$151))))))</f>
        <v>50</v>
      </c>
      <c r="E22" s="5" t="n">
        <f aca="false">AVERAGE(IF(NOT(ISNUMBER(Fundamentals!H22)),50,100*(SUMPRODUCT(($B$2:$B$151=TRUE())*ISNUMBER(Fundamentals!$H$2:$H$151)*(Fundamentals!$H$2:$H$151&lt;Fundamentals!H22))/MAX(1,SUMPRODUCT(($B$2:$B$151=TRUE())*ISNUMBER(Fundamentals!$H$2:$H$151))))),IF(NOT(ISNUMBER(Fundamentals!I22)),50,100*(SUMPRODUCT(($B$2:$B$151=TRUE())*ISNUMBER(Fundamentals!$I$2:$I$151)*(Fundamentals!$I$2:$I$151&lt;Fundamentals!I22))/MAX(1,SUMPRODUCT(($B$2:$B$151=TRUE())*ISNUMBER(Fundamentals!$I$2:$I$151))))))</f>
        <v>50</v>
      </c>
      <c r="F22" s="5" t="n">
        <f aca="false">IF(Tickers!C22="Financial Services",50,IF(NOT(ISNUMBER(Fundamentals!G22)),50,100*(1-(SUMPRODUCT(($B$2:$B$151=TRUE())*ISNUMBER(Fundamentals!$G$2:$G$151)*(Fundamentals!$G$2:$G$151&lt;Fundamentals!G22))/MAX(1,SUMPRODUCT(($B$2:$B$151=TRUE())*ISNUMBER(Fundamentals!$G$2:$G$151)))))))</f>
        <v>50</v>
      </c>
      <c r="G22" s="5" t="n">
        <f aca="false">AVERAGE(C22:F22)</f>
        <v>50</v>
      </c>
      <c r="H22" s="5" t="n">
        <f aca="false">MIN(100,MAX(0,IF(NOT(ISNUMBER(PriceMetrics!K22)),50,100*(SUMPRODUCT(($B$2:$B$151=TRUE())*ISNUMBER(PriceMetrics!$K$2:$K$151)*(PriceMetrics!$K$2:$K$151&lt;PriceMetrics!K22))/MAX(1,SUMPRODUCT(($B$2:$B$151=TRUE())*ISNUMBER(PriceMetrics!$K$2:$K$151)))))+IF(ISNUMBER(PriceMetrics!L22),10*PriceMetrics!L22,0)))</f>
        <v>50</v>
      </c>
      <c r="I22" s="5" t="n">
        <f aca="false">0.6*IF(NOT(ISNUMBER(PriceMetrics!P22)),50,100*(SUMPRODUCT(($B$2:$B$151=TRUE())*ISNUMBER(PriceMetrics!$P$2:$P$151)*(PriceMetrics!$P$2:$P$151&lt;PriceMetrics!P22))/MAX(1,SUMPRODUCT(($B$2:$B$151=TRUE())*ISNUMBER(PriceMetrics!$P$2:$P$151)))))+0.4*IF(NOT(ISNUMBER(PriceMetrics!H22)),50,IF(PriceMetrics!H22&gt;70,40,IF(PriceMetrics!H22&gt;=50,100,IF(PriceMetrics!H22&gt;=35,60,30))))</f>
        <v>50</v>
      </c>
      <c r="J22" s="5" t="n">
        <f aca="false">AVERAGE(IF(NOT(ISNUMBER(PriceMetrics!F22)),50,100*(1-(SUMPRODUCT(($B$2:$B$151=TRUE())*ISNUMBER(PriceMetrics!$F$2:$F$151)*(PriceMetrics!$F$2:$F$151&lt;PriceMetrics!F22))/MAX(1,SUMPRODUCT(($B$2:$B$151=TRUE())*ISNUMBER(PriceMetrics!$F$2:$F$151)))))),IF(NOT(ISNUMBER(PriceMetrics!G22)),50,100*(1-(SUMPRODUCT(($B$2:$B$151=TRUE())*ISNUMBER(PriceMetrics!$G$2:$G$151)*(ABS(PriceMetrics!$G$2:$G$151)&lt;ABS(PriceMetrics!G22)))/MAX(1,SUMPRODUCT(($B$2:$B$151=TRUE())*ISNUMBER(PriceMetrics!$G$2:$G$151)))))))</f>
        <v>50</v>
      </c>
      <c r="K22" s="5" t="n">
        <f aca="false">AVERAGE(H22:J22)</f>
        <v>50</v>
      </c>
      <c r="L22" s="8" t="n">
        <f aca="false">Macro!$B$26</f>
        <v>53.5</v>
      </c>
      <c r="M22" s="5" t="n">
        <f aca="false">Control!$B$3*100*G22/100+Control!$B$4*K22+Control!$B$5*L22</f>
        <v>50.7</v>
      </c>
      <c r="N22" s="3" t="n">
        <f aca="false">M22+ROW()/1000000</f>
        <v>50.700022</v>
      </c>
      <c r="O22" s="5" t="n">
        <f aca="false">M22-IF(AND(Tickers!D22="SMALLCAP100",Macro!$B$26&lt;40),Control!$B$11,0)</f>
        <v>50.7</v>
      </c>
      <c r="P22" s="3" t="str">
        <f aca="false">IF(B22=FALSE(),"-",IF(O22&gt;=Control!$B$7,"BUY",IF(O22&gt;=Control!$B$8,"ACCUMULATE",IF(O22&gt;=Control!$B$9,"HOLD","AVOID"))))</f>
        <v>HOLD</v>
      </c>
      <c r="Q22" s="3" t="str">
        <f aca="false">IF(B22=FALSE(),"",IF(OR(O22&gt;=72,O22&lt;=32),"High",IF(OR(O22&gt;=62,O22&lt;=42),"Medium","Low")))</f>
        <v>Low</v>
      </c>
      <c r="R22" s="12" t="n">
        <f aca="false">IF(P22="BUY",Control!$B$12,IF(P22="ACCUMULATE",Control!$B$13,0))</f>
        <v>0</v>
      </c>
      <c r="S22" s="3" t="str">
        <f aca="false">IF(B22=FALSE(),"",IF(T22=C22,"Rich valuation",IF(T22=E22,"Weak growth",IF(T22=F22,"Balance-sheet leverage",IF(T22=I22,"Negative momentum","High volatility/drawdown")))))</f>
        <v>Rich valuation</v>
      </c>
      <c r="T22" s="3" t="n">
        <f aca="false">MIN(C22,E22,F22,I22,J22)</f>
        <v>50</v>
      </c>
      <c r="U22" s="3" t="n">
        <f aca="false">IF(B22=TRUE(),N22,-1000+ROW()/1000000)</f>
        <v>50.700022</v>
      </c>
    </row>
    <row r="23" customFormat="false" ht="15" hidden="false" customHeight="false" outlineLevel="0" collapsed="false">
      <c r="A23" s="7" t="str">
        <f aca="false">Tickers!A23</f>
        <v>IDFCFIRSTB</v>
      </c>
      <c r="B23" s="19" t="b">
        <f aca="false">Tickers!F23</f>
        <v>1</v>
      </c>
      <c r="C23" s="5" t="n">
        <f aca="false">AVERAGE(IF(NOT(ISNUMBER(Fundamentals!C23)),50,IF(Fundamentals!C23&lt;=0,15,100*(1-(SUMPRODUCT(($B$2:$B$151=TRUE())*ISNUMBER(Fundamentals!$C$2:$C$151)*(Fundamentals!$C$2:$C$151&gt;0)*(Fundamentals!$C$2:$C$151&lt;Fundamentals!C23))/MAX(1,SUMPRODUCT(($B$2:$B$151=TRUE())*ISNUMBER(Fundamentals!$C$2:$C$151)*(Fundamentals!$C$2:$C$151&gt;0))))))),IF(NOT(ISNUMBER(Fundamentals!E23)),50,IF(Fundamentals!E23&lt;=0,15,100*(1-(SUMPRODUCT(($B$2:$B$151=TRUE())*ISNUMBER(Fundamentals!$E$2:$E$151)*(Fundamentals!$E$2:$E$151&gt;0)*(Fundamentals!$E$2:$E$151&lt;Fundamentals!E23))/MAX(1,SUMPRODUCT(($B$2:$B$151=TRUE())*ISNUMBER(Fundamentals!$E$2:$E$151)*(Fundamentals!$E$2:$E$151&gt;0))))))))</f>
        <v>50</v>
      </c>
      <c r="D23" s="5" t="n">
        <f aca="false">AVERAGE(IF(NOT(ISNUMBER(Fundamentals!F23)),50,100*(SUMPRODUCT(($B$2:$B$151=TRUE())*ISNUMBER(Fundamentals!$F$2:$F$151)*(Fundamentals!$F$2:$F$151&lt;Fundamentals!F23))/MAX(1,SUMPRODUCT(($B$2:$B$151=TRUE())*ISNUMBER(Fundamentals!$F$2:$F$151))))),IF(NOT(ISNUMBER(Fundamentals!J23)),50,100*(SUMPRODUCT(($B$2:$B$151=TRUE())*ISNUMBER(Fundamentals!$J$2:$J$151)*(Fundamentals!$J$2:$J$151&lt;Fundamentals!J23))/MAX(1,SUMPRODUCT(($B$2:$B$151=TRUE())*ISNUMBER(Fundamentals!$J$2:$J$151))))))</f>
        <v>50</v>
      </c>
      <c r="E23" s="5" t="n">
        <f aca="false">AVERAGE(IF(NOT(ISNUMBER(Fundamentals!H23)),50,100*(SUMPRODUCT(($B$2:$B$151=TRUE())*ISNUMBER(Fundamentals!$H$2:$H$151)*(Fundamentals!$H$2:$H$151&lt;Fundamentals!H23))/MAX(1,SUMPRODUCT(($B$2:$B$151=TRUE())*ISNUMBER(Fundamentals!$H$2:$H$151))))),IF(NOT(ISNUMBER(Fundamentals!I23)),50,100*(SUMPRODUCT(($B$2:$B$151=TRUE())*ISNUMBER(Fundamentals!$I$2:$I$151)*(Fundamentals!$I$2:$I$151&lt;Fundamentals!I23))/MAX(1,SUMPRODUCT(($B$2:$B$151=TRUE())*ISNUMBER(Fundamentals!$I$2:$I$151))))))</f>
        <v>50</v>
      </c>
      <c r="F23" s="5" t="n">
        <f aca="false">IF(Tickers!C23="Financial Services",50,IF(NOT(ISNUMBER(Fundamentals!G23)),50,100*(1-(SUMPRODUCT(($B$2:$B$151=TRUE())*ISNUMBER(Fundamentals!$G$2:$G$151)*(Fundamentals!$G$2:$G$151&lt;Fundamentals!G23))/MAX(1,SUMPRODUCT(($B$2:$B$151=TRUE())*ISNUMBER(Fundamentals!$G$2:$G$151)))))))</f>
        <v>50</v>
      </c>
      <c r="G23" s="5" t="n">
        <f aca="false">AVERAGE(C23:F23)</f>
        <v>50</v>
      </c>
      <c r="H23" s="5" t="n">
        <f aca="false">MIN(100,MAX(0,IF(NOT(ISNUMBER(PriceMetrics!K23)),50,100*(SUMPRODUCT(($B$2:$B$151=TRUE())*ISNUMBER(PriceMetrics!$K$2:$K$151)*(PriceMetrics!$K$2:$K$151&lt;PriceMetrics!K23))/MAX(1,SUMPRODUCT(($B$2:$B$151=TRUE())*ISNUMBER(PriceMetrics!$K$2:$K$151)))))+IF(ISNUMBER(PriceMetrics!L23),10*PriceMetrics!L23,0)))</f>
        <v>50</v>
      </c>
      <c r="I23" s="5" t="n">
        <f aca="false">0.6*IF(NOT(ISNUMBER(PriceMetrics!P23)),50,100*(SUMPRODUCT(($B$2:$B$151=TRUE())*ISNUMBER(PriceMetrics!$P$2:$P$151)*(PriceMetrics!$P$2:$P$151&lt;PriceMetrics!P23))/MAX(1,SUMPRODUCT(($B$2:$B$151=TRUE())*ISNUMBER(PriceMetrics!$P$2:$P$151)))))+0.4*IF(NOT(ISNUMBER(PriceMetrics!H23)),50,IF(PriceMetrics!H23&gt;70,40,IF(PriceMetrics!H23&gt;=50,100,IF(PriceMetrics!H23&gt;=35,60,30))))</f>
        <v>50</v>
      </c>
      <c r="J23" s="5" t="n">
        <f aca="false">AVERAGE(IF(NOT(ISNUMBER(PriceMetrics!F23)),50,100*(1-(SUMPRODUCT(($B$2:$B$151=TRUE())*ISNUMBER(PriceMetrics!$F$2:$F$151)*(PriceMetrics!$F$2:$F$151&lt;PriceMetrics!F23))/MAX(1,SUMPRODUCT(($B$2:$B$151=TRUE())*ISNUMBER(PriceMetrics!$F$2:$F$151)))))),IF(NOT(ISNUMBER(PriceMetrics!G23)),50,100*(1-(SUMPRODUCT(($B$2:$B$151=TRUE())*ISNUMBER(PriceMetrics!$G$2:$G$151)*(ABS(PriceMetrics!$G$2:$G$151)&lt;ABS(PriceMetrics!G23)))/MAX(1,SUMPRODUCT(($B$2:$B$151=TRUE())*ISNUMBER(PriceMetrics!$G$2:$G$151)))))))</f>
        <v>50</v>
      </c>
      <c r="K23" s="5" t="n">
        <f aca="false">AVERAGE(H23:J23)</f>
        <v>50</v>
      </c>
      <c r="L23" s="8" t="n">
        <f aca="false">Macro!$B$26</f>
        <v>53.5</v>
      </c>
      <c r="M23" s="5" t="n">
        <f aca="false">Control!$B$3*100*G23/100+Control!$B$4*K23+Control!$B$5*L23</f>
        <v>50.7</v>
      </c>
      <c r="N23" s="3" t="n">
        <f aca="false">M23+ROW()/1000000</f>
        <v>50.700023</v>
      </c>
      <c r="O23" s="5" t="n">
        <f aca="false">M23-IF(AND(Tickers!D23="SMALLCAP100",Macro!$B$26&lt;40),Control!$B$11,0)</f>
        <v>50.7</v>
      </c>
      <c r="P23" s="3" t="str">
        <f aca="false">IF(B23=FALSE(),"-",IF(O23&gt;=Control!$B$7,"BUY",IF(O23&gt;=Control!$B$8,"ACCUMULATE",IF(O23&gt;=Control!$B$9,"HOLD","AVOID"))))</f>
        <v>HOLD</v>
      </c>
      <c r="Q23" s="3" t="str">
        <f aca="false">IF(B23=FALSE(),"",IF(OR(O23&gt;=72,O23&lt;=32),"High",IF(OR(O23&gt;=62,O23&lt;=42),"Medium","Low")))</f>
        <v>Low</v>
      </c>
      <c r="R23" s="12" t="n">
        <f aca="false">IF(P23="BUY",Control!$B$12,IF(P23="ACCUMULATE",Control!$B$13,0))</f>
        <v>0</v>
      </c>
      <c r="S23" s="3" t="str">
        <f aca="false">IF(B23=FALSE(),"",IF(T23=C23,"Rich valuation",IF(T23=E23,"Weak growth",IF(T23=F23,"Balance-sheet leverage",IF(T23=I23,"Negative momentum","High volatility/drawdown")))))</f>
        <v>Rich valuation</v>
      </c>
      <c r="T23" s="3" t="n">
        <f aca="false">MIN(C23,E23,F23,I23,J23)</f>
        <v>50</v>
      </c>
      <c r="U23" s="3" t="n">
        <f aca="false">IF(B23=TRUE(),N23,-1000+ROW()/1000000)</f>
        <v>50.700023</v>
      </c>
    </row>
    <row r="24" customFormat="false" ht="15" hidden="false" customHeight="false" outlineLevel="0" collapsed="false">
      <c r="A24" s="7" t="str">
        <f aca="false">Tickers!A24</f>
        <v>INDUSTOWER</v>
      </c>
      <c r="B24" s="19" t="b">
        <f aca="false">Tickers!F24</f>
        <v>1</v>
      </c>
      <c r="C24" s="5" t="n">
        <f aca="false">AVERAGE(IF(NOT(ISNUMBER(Fundamentals!C24)),50,IF(Fundamentals!C24&lt;=0,15,100*(1-(SUMPRODUCT(($B$2:$B$151=TRUE())*ISNUMBER(Fundamentals!$C$2:$C$151)*(Fundamentals!$C$2:$C$151&gt;0)*(Fundamentals!$C$2:$C$151&lt;Fundamentals!C24))/MAX(1,SUMPRODUCT(($B$2:$B$151=TRUE())*ISNUMBER(Fundamentals!$C$2:$C$151)*(Fundamentals!$C$2:$C$151&gt;0))))))),IF(NOT(ISNUMBER(Fundamentals!E24)),50,IF(Fundamentals!E24&lt;=0,15,100*(1-(SUMPRODUCT(($B$2:$B$151=TRUE())*ISNUMBER(Fundamentals!$E$2:$E$151)*(Fundamentals!$E$2:$E$151&gt;0)*(Fundamentals!$E$2:$E$151&lt;Fundamentals!E24))/MAX(1,SUMPRODUCT(($B$2:$B$151=TRUE())*ISNUMBER(Fundamentals!$E$2:$E$151)*(Fundamentals!$E$2:$E$151&gt;0))))))))</f>
        <v>50</v>
      </c>
      <c r="D24" s="5" t="n">
        <f aca="false">AVERAGE(IF(NOT(ISNUMBER(Fundamentals!F24)),50,100*(SUMPRODUCT(($B$2:$B$151=TRUE())*ISNUMBER(Fundamentals!$F$2:$F$151)*(Fundamentals!$F$2:$F$151&lt;Fundamentals!F24))/MAX(1,SUMPRODUCT(($B$2:$B$151=TRUE())*ISNUMBER(Fundamentals!$F$2:$F$151))))),IF(NOT(ISNUMBER(Fundamentals!J24)),50,100*(SUMPRODUCT(($B$2:$B$151=TRUE())*ISNUMBER(Fundamentals!$J$2:$J$151)*(Fundamentals!$J$2:$J$151&lt;Fundamentals!J24))/MAX(1,SUMPRODUCT(($B$2:$B$151=TRUE())*ISNUMBER(Fundamentals!$J$2:$J$151))))))</f>
        <v>50</v>
      </c>
      <c r="E24" s="5" t="n">
        <f aca="false">AVERAGE(IF(NOT(ISNUMBER(Fundamentals!H24)),50,100*(SUMPRODUCT(($B$2:$B$151=TRUE())*ISNUMBER(Fundamentals!$H$2:$H$151)*(Fundamentals!$H$2:$H$151&lt;Fundamentals!H24))/MAX(1,SUMPRODUCT(($B$2:$B$151=TRUE())*ISNUMBER(Fundamentals!$H$2:$H$151))))),IF(NOT(ISNUMBER(Fundamentals!I24)),50,100*(SUMPRODUCT(($B$2:$B$151=TRUE())*ISNUMBER(Fundamentals!$I$2:$I$151)*(Fundamentals!$I$2:$I$151&lt;Fundamentals!I24))/MAX(1,SUMPRODUCT(($B$2:$B$151=TRUE())*ISNUMBER(Fundamentals!$I$2:$I$151))))))</f>
        <v>50</v>
      </c>
      <c r="F24" s="5" t="n">
        <f aca="false">IF(Tickers!C24="Financial Services",50,IF(NOT(ISNUMBER(Fundamentals!G24)),50,100*(1-(SUMPRODUCT(($B$2:$B$151=TRUE())*ISNUMBER(Fundamentals!$G$2:$G$151)*(Fundamentals!$G$2:$G$151&lt;Fundamentals!G24))/MAX(1,SUMPRODUCT(($B$2:$B$151=TRUE())*ISNUMBER(Fundamentals!$G$2:$G$151)))))))</f>
        <v>50</v>
      </c>
      <c r="G24" s="5" t="n">
        <f aca="false">AVERAGE(C24:F24)</f>
        <v>50</v>
      </c>
      <c r="H24" s="5" t="n">
        <f aca="false">MIN(100,MAX(0,IF(NOT(ISNUMBER(PriceMetrics!K24)),50,100*(SUMPRODUCT(($B$2:$B$151=TRUE())*ISNUMBER(PriceMetrics!$K$2:$K$151)*(PriceMetrics!$K$2:$K$151&lt;PriceMetrics!K24))/MAX(1,SUMPRODUCT(($B$2:$B$151=TRUE())*ISNUMBER(PriceMetrics!$K$2:$K$151)))))+IF(ISNUMBER(PriceMetrics!L24),10*PriceMetrics!L24,0)))</f>
        <v>50</v>
      </c>
      <c r="I24" s="5" t="n">
        <f aca="false">0.6*IF(NOT(ISNUMBER(PriceMetrics!P24)),50,100*(SUMPRODUCT(($B$2:$B$151=TRUE())*ISNUMBER(PriceMetrics!$P$2:$P$151)*(PriceMetrics!$P$2:$P$151&lt;PriceMetrics!P24))/MAX(1,SUMPRODUCT(($B$2:$B$151=TRUE())*ISNUMBER(PriceMetrics!$P$2:$P$151)))))+0.4*IF(NOT(ISNUMBER(PriceMetrics!H24)),50,IF(PriceMetrics!H24&gt;70,40,IF(PriceMetrics!H24&gt;=50,100,IF(PriceMetrics!H24&gt;=35,60,30))))</f>
        <v>50</v>
      </c>
      <c r="J24" s="5" t="n">
        <f aca="false">AVERAGE(IF(NOT(ISNUMBER(PriceMetrics!F24)),50,100*(1-(SUMPRODUCT(($B$2:$B$151=TRUE())*ISNUMBER(PriceMetrics!$F$2:$F$151)*(PriceMetrics!$F$2:$F$151&lt;PriceMetrics!F24))/MAX(1,SUMPRODUCT(($B$2:$B$151=TRUE())*ISNUMBER(PriceMetrics!$F$2:$F$151)))))),IF(NOT(ISNUMBER(PriceMetrics!G24)),50,100*(1-(SUMPRODUCT(($B$2:$B$151=TRUE())*ISNUMBER(PriceMetrics!$G$2:$G$151)*(ABS(PriceMetrics!$G$2:$G$151)&lt;ABS(PriceMetrics!G24)))/MAX(1,SUMPRODUCT(($B$2:$B$151=TRUE())*ISNUMBER(PriceMetrics!$G$2:$G$151)))))))</f>
        <v>50</v>
      </c>
      <c r="K24" s="5" t="n">
        <f aca="false">AVERAGE(H24:J24)</f>
        <v>50</v>
      </c>
      <c r="L24" s="8" t="n">
        <f aca="false">Macro!$B$26</f>
        <v>53.5</v>
      </c>
      <c r="M24" s="5" t="n">
        <f aca="false">Control!$B$3*100*G24/100+Control!$B$4*K24+Control!$B$5*L24</f>
        <v>50.7</v>
      </c>
      <c r="N24" s="3" t="n">
        <f aca="false">M24+ROW()/1000000</f>
        <v>50.700024</v>
      </c>
      <c r="O24" s="5" t="n">
        <f aca="false">M24-IF(AND(Tickers!D24="SMALLCAP100",Macro!$B$26&lt;40),Control!$B$11,0)</f>
        <v>50.7</v>
      </c>
      <c r="P24" s="3" t="str">
        <f aca="false">IF(B24=FALSE(),"-",IF(O24&gt;=Control!$B$7,"BUY",IF(O24&gt;=Control!$B$8,"ACCUMULATE",IF(O24&gt;=Control!$B$9,"HOLD","AVOID"))))</f>
        <v>HOLD</v>
      </c>
      <c r="Q24" s="3" t="str">
        <f aca="false">IF(B24=FALSE(),"",IF(OR(O24&gt;=72,O24&lt;=32),"High",IF(OR(O24&gt;=62,O24&lt;=42),"Medium","Low")))</f>
        <v>Low</v>
      </c>
      <c r="R24" s="12" t="n">
        <f aca="false">IF(P24="BUY",Control!$B$12,IF(P24="ACCUMULATE",Control!$B$13,0))</f>
        <v>0</v>
      </c>
      <c r="S24" s="3" t="str">
        <f aca="false">IF(B24=FALSE(),"",IF(T24=C24,"Rich valuation",IF(T24=E24,"Weak growth",IF(T24=F24,"Balance-sheet leverage",IF(T24=I24,"Negative momentum","High volatility/drawdown")))))</f>
        <v>Rich valuation</v>
      </c>
      <c r="T24" s="3" t="n">
        <f aca="false">MIN(C24,E24,F24,I24,J24)</f>
        <v>50</v>
      </c>
      <c r="U24" s="3" t="n">
        <f aca="false">IF(B24=TRUE(),N24,-1000+ROW()/1000000)</f>
        <v>50.700024</v>
      </c>
    </row>
    <row r="25" customFormat="false" ht="15" hidden="false" customHeight="false" outlineLevel="0" collapsed="false">
      <c r="A25" s="7" t="str">
        <f aca="false">Tickers!A25</f>
        <v>INDUSINDBK</v>
      </c>
      <c r="B25" s="19" t="b">
        <f aca="false">Tickers!F25</f>
        <v>1</v>
      </c>
      <c r="C25" s="5" t="n">
        <f aca="false">AVERAGE(IF(NOT(ISNUMBER(Fundamentals!C25)),50,IF(Fundamentals!C25&lt;=0,15,100*(1-(SUMPRODUCT(($B$2:$B$151=TRUE())*ISNUMBER(Fundamentals!$C$2:$C$151)*(Fundamentals!$C$2:$C$151&gt;0)*(Fundamentals!$C$2:$C$151&lt;Fundamentals!C25))/MAX(1,SUMPRODUCT(($B$2:$B$151=TRUE())*ISNUMBER(Fundamentals!$C$2:$C$151)*(Fundamentals!$C$2:$C$151&gt;0))))))),IF(NOT(ISNUMBER(Fundamentals!E25)),50,IF(Fundamentals!E25&lt;=0,15,100*(1-(SUMPRODUCT(($B$2:$B$151=TRUE())*ISNUMBER(Fundamentals!$E$2:$E$151)*(Fundamentals!$E$2:$E$151&gt;0)*(Fundamentals!$E$2:$E$151&lt;Fundamentals!E25))/MAX(1,SUMPRODUCT(($B$2:$B$151=TRUE())*ISNUMBER(Fundamentals!$E$2:$E$151)*(Fundamentals!$E$2:$E$151&gt;0))))))))</f>
        <v>50</v>
      </c>
      <c r="D25" s="5" t="n">
        <f aca="false">AVERAGE(IF(NOT(ISNUMBER(Fundamentals!F25)),50,100*(SUMPRODUCT(($B$2:$B$151=TRUE())*ISNUMBER(Fundamentals!$F$2:$F$151)*(Fundamentals!$F$2:$F$151&lt;Fundamentals!F25))/MAX(1,SUMPRODUCT(($B$2:$B$151=TRUE())*ISNUMBER(Fundamentals!$F$2:$F$151))))),IF(NOT(ISNUMBER(Fundamentals!J25)),50,100*(SUMPRODUCT(($B$2:$B$151=TRUE())*ISNUMBER(Fundamentals!$J$2:$J$151)*(Fundamentals!$J$2:$J$151&lt;Fundamentals!J25))/MAX(1,SUMPRODUCT(($B$2:$B$151=TRUE())*ISNUMBER(Fundamentals!$J$2:$J$151))))))</f>
        <v>50</v>
      </c>
      <c r="E25" s="5" t="n">
        <f aca="false">AVERAGE(IF(NOT(ISNUMBER(Fundamentals!H25)),50,100*(SUMPRODUCT(($B$2:$B$151=TRUE())*ISNUMBER(Fundamentals!$H$2:$H$151)*(Fundamentals!$H$2:$H$151&lt;Fundamentals!H25))/MAX(1,SUMPRODUCT(($B$2:$B$151=TRUE())*ISNUMBER(Fundamentals!$H$2:$H$151))))),IF(NOT(ISNUMBER(Fundamentals!I25)),50,100*(SUMPRODUCT(($B$2:$B$151=TRUE())*ISNUMBER(Fundamentals!$I$2:$I$151)*(Fundamentals!$I$2:$I$151&lt;Fundamentals!I25))/MAX(1,SUMPRODUCT(($B$2:$B$151=TRUE())*ISNUMBER(Fundamentals!$I$2:$I$151))))))</f>
        <v>50</v>
      </c>
      <c r="F25" s="5" t="n">
        <f aca="false">IF(Tickers!C25="Financial Services",50,IF(NOT(ISNUMBER(Fundamentals!G25)),50,100*(1-(SUMPRODUCT(($B$2:$B$151=TRUE())*ISNUMBER(Fundamentals!$G$2:$G$151)*(Fundamentals!$G$2:$G$151&lt;Fundamentals!G25))/MAX(1,SUMPRODUCT(($B$2:$B$151=TRUE())*ISNUMBER(Fundamentals!$G$2:$G$151)))))))</f>
        <v>50</v>
      </c>
      <c r="G25" s="5" t="n">
        <f aca="false">AVERAGE(C25:F25)</f>
        <v>50</v>
      </c>
      <c r="H25" s="5" t="n">
        <f aca="false">MIN(100,MAX(0,IF(NOT(ISNUMBER(PriceMetrics!K25)),50,100*(SUMPRODUCT(($B$2:$B$151=TRUE())*ISNUMBER(PriceMetrics!$K$2:$K$151)*(PriceMetrics!$K$2:$K$151&lt;PriceMetrics!K25))/MAX(1,SUMPRODUCT(($B$2:$B$151=TRUE())*ISNUMBER(PriceMetrics!$K$2:$K$151)))))+IF(ISNUMBER(PriceMetrics!L25),10*PriceMetrics!L25,0)))</f>
        <v>50</v>
      </c>
      <c r="I25" s="5" t="n">
        <f aca="false">0.6*IF(NOT(ISNUMBER(PriceMetrics!P25)),50,100*(SUMPRODUCT(($B$2:$B$151=TRUE())*ISNUMBER(PriceMetrics!$P$2:$P$151)*(PriceMetrics!$P$2:$P$151&lt;PriceMetrics!P25))/MAX(1,SUMPRODUCT(($B$2:$B$151=TRUE())*ISNUMBER(PriceMetrics!$P$2:$P$151)))))+0.4*IF(NOT(ISNUMBER(PriceMetrics!H25)),50,IF(PriceMetrics!H25&gt;70,40,IF(PriceMetrics!H25&gt;=50,100,IF(PriceMetrics!H25&gt;=35,60,30))))</f>
        <v>50</v>
      </c>
      <c r="J25" s="5" t="n">
        <f aca="false">AVERAGE(IF(NOT(ISNUMBER(PriceMetrics!F25)),50,100*(1-(SUMPRODUCT(($B$2:$B$151=TRUE())*ISNUMBER(PriceMetrics!$F$2:$F$151)*(PriceMetrics!$F$2:$F$151&lt;PriceMetrics!F25))/MAX(1,SUMPRODUCT(($B$2:$B$151=TRUE())*ISNUMBER(PriceMetrics!$F$2:$F$151)))))),IF(NOT(ISNUMBER(PriceMetrics!G25)),50,100*(1-(SUMPRODUCT(($B$2:$B$151=TRUE())*ISNUMBER(PriceMetrics!$G$2:$G$151)*(ABS(PriceMetrics!$G$2:$G$151)&lt;ABS(PriceMetrics!G25)))/MAX(1,SUMPRODUCT(($B$2:$B$151=TRUE())*ISNUMBER(PriceMetrics!$G$2:$G$151)))))))</f>
        <v>50</v>
      </c>
      <c r="K25" s="5" t="n">
        <f aca="false">AVERAGE(H25:J25)</f>
        <v>50</v>
      </c>
      <c r="L25" s="8" t="n">
        <f aca="false">Macro!$B$26</f>
        <v>53.5</v>
      </c>
      <c r="M25" s="5" t="n">
        <f aca="false">Control!$B$3*100*G25/100+Control!$B$4*K25+Control!$B$5*L25</f>
        <v>50.7</v>
      </c>
      <c r="N25" s="3" t="n">
        <f aca="false">M25+ROW()/1000000</f>
        <v>50.700025</v>
      </c>
      <c r="O25" s="5" t="n">
        <f aca="false">M25-IF(AND(Tickers!D25="SMALLCAP100",Macro!$B$26&lt;40),Control!$B$11,0)</f>
        <v>50.7</v>
      </c>
      <c r="P25" s="3" t="str">
        <f aca="false">IF(B25=FALSE(),"-",IF(O25&gt;=Control!$B$7,"BUY",IF(O25&gt;=Control!$B$8,"ACCUMULATE",IF(O25&gt;=Control!$B$9,"HOLD","AVOID"))))</f>
        <v>HOLD</v>
      </c>
      <c r="Q25" s="3" t="str">
        <f aca="false">IF(B25=FALSE(),"",IF(OR(O25&gt;=72,O25&lt;=32),"High",IF(OR(O25&gt;=62,O25&lt;=42),"Medium","Low")))</f>
        <v>Low</v>
      </c>
      <c r="R25" s="12" t="n">
        <f aca="false">IF(P25="BUY",Control!$B$12,IF(P25="ACCUMULATE",Control!$B$13,0))</f>
        <v>0</v>
      </c>
      <c r="S25" s="3" t="str">
        <f aca="false">IF(B25=FALSE(),"",IF(T25=C25,"Rich valuation",IF(T25=E25,"Weak growth",IF(T25=F25,"Balance-sheet leverage",IF(T25=I25,"Negative momentum","High volatility/drawdown")))))</f>
        <v>Rich valuation</v>
      </c>
      <c r="T25" s="3" t="n">
        <f aca="false">MIN(C25,E25,F25,I25,J25)</f>
        <v>50</v>
      </c>
      <c r="U25" s="3" t="n">
        <f aca="false">IF(B25=TRUE(),N25,-1000+ROW()/1000000)</f>
        <v>50.700025</v>
      </c>
    </row>
    <row r="26" customFormat="false" ht="15" hidden="false" customHeight="false" outlineLevel="0" collapsed="false">
      <c r="A26" s="7" t="str">
        <f aca="false">Tickers!A26</f>
        <v>NAUKRI</v>
      </c>
      <c r="B26" s="19" t="b">
        <f aca="false">Tickers!F26</f>
        <v>1</v>
      </c>
      <c r="C26" s="5" t="n">
        <f aca="false">AVERAGE(IF(NOT(ISNUMBER(Fundamentals!C26)),50,IF(Fundamentals!C26&lt;=0,15,100*(1-(SUMPRODUCT(($B$2:$B$151=TRUE())*ISNUMBER(Fundamentals!$C$2:$C$151)*(Fundamentals!$C$2:$C$151&gt;0)*(Fundamentals!$C$2:$C$151&lt;Fundamentals!C26))/MAX(1,SUMPRODUCT(($B$2:$B$151=TRUE())*ISNUMBER(Fundamentals!$C$2:$C$151)*(Fundamentals!$C$2:$C$151&gt;0))))))),IF(NOT(ISNUMBER(Fundamentals!E26)),50,IF(Fundamentals!E26&lt;=0,15,100*(1-(SUMPRODUCT(($B$2:$B$151=TRUE())*ISNUMBER(Fundamentals!$E$2:$E$151)*(Fundamentals!$E$2:$E$151&gt;0)*(Fundamentals!$E$2:$E$151&lt;Fundamentals!E26))/MAX(1,SUMPRODUCT(($B$2:$B$151=TRUE())*ISNUMBER(Fundamentals!$E$2:$E$151)*(Fundamentals!$E$2:$E$151&gt;0))))))))</f>
        <v>50</v>
      </c>
      <c r="D26" s="5" t="n">
        <f aca="false">AVERAGE(IF(NOT(ISNUMBER(Fundamentals!F26)),50,100*(SUMPRODUCT(($B$2:$B$151=TRUE())*ISNUMBER(Fundamentals!$F$2:$F$151)*(Fundamentals!$F$2:$F$151&lt;Fundamentals!F26))/MAX(1,SUMPRODUCT(($B$2:$B$151=TRUE())*ISNUMBER(Fundamentals!$F$2:$F$151))))),IF(NOT(ISNUMBER(Fundamentals!J26)),50,100*(SUMPRODUCT(($B$2:$B$151=TRUE())*ISNUMBER(Fundamentals!$J$2:$J$151)*(Fundamentals!$J$2:$J$151&lt;Fundamentals!J26))/MAX(1,SUMPRODUCT(($B$2:$B$151=TRUE())*ISNUMBER(Fundamentals!$J$2:$J$151))))))</f>
        <v>50</v>
      </c>
      <c r="E26" s="5" t="n">
        <f aca="false">AVERAGE(IF(NOT(ISNUMBER(Fundamentals!H26)),50,100*(SUMPRODUCT(($B$2:$B$151=TRUE())*ISNUMBER(Fundamentals!$H$2:$H$151)*(Fundamentals!$H$2:$H$151&lt;Fundamentals!H26))/MAX(1,SUMPRODUCT(($B$2:$B$151=TRUE())*ISNUMBER(Fundamentals!$H$2:$H$151))))),IF(NOT(ISNUMBER(Fundamentals!I26)),50,100*(SUMPRODUCT(($B$2:$B$151=TRUE())*ISNUMBER(Fundamentals!$I$2:$I$151)*(Fundamentals!$I$2:$I$151&lt;Fundamentals!I26))/MAX(1,SUMPRODUCT(($B$2:$B$151=TRUE())*ISNUMBER(Fundamentals!$I$2:$I$151))))))</f>
        <v>50</v>
      </c>
      <c r="F26" s="5" t="n">
        <f aca="false">IF(Tickers!C26="Financial Services",50,IF(NOT(ISNUMBER(Fundamentals!G26)),50,100*(1-(SUMPRODUCT(($B$2:$B$151=TRUE())*ISNUMBER(Fundamentals!$G$2:$G$151)*(Fundamentals!$G$2:$G$151&lt;Fundamentals!G26))/MAX(1,SUMPRODUCT(($B$2:$B$151=TRUE())*ISNUMBER(Fundamentals!$G$2:$G$151)))))))</f>
        <v>50</v>
      </c>
      <c r="G26" s="5" t="n">
        <f aca="false">AVERAGE(C26:F26)</f>
        <v>50</v>
      </c>
      <c r="H26" s="5" t="n">
        <f aca="false">MIN(100,MAX(0,IF(NOT(ISNUMBER(PriceMetrics!K26)),50,100*(SUMPRODUCT(($B$2:$B$151=TRUE())*ISNUMBER(PriceMetrics!$K$2:$K$151)*(PriceMetrics!$K$2:$K$151&lt;PriceMetrics!K26))/MAX(1,SUMPRODUCT(($B$2:$B$151=TRUE())*ISNUMBER(PriceMetrics!$K$2:$K$151)))))+IF(ISNUMBER(PriceMetrics!L26),10*PriceMetrics!L26,0)))</f>
        <v>50</v>
      </c>
      <c r="I26" s="5" t="n">
        <f aca="false">0.6*IF(NOT(ISNUMBER(PriceMetrics!P26)),50,100*(SUMPRODUCT(($B$2:$B$151=TRUE())*ISNUMBER(PriceMetrics!$P$2:$P$151)*(PriceMetrics!$P$2:$P$151&lt;PriceMetrics!P26))/MAX(1,SUMPRODUCT(($B$2:$B$151=TRUE())*ISNUMBER(PriceMetrics!$P$2:$P$151)))))+0.4*IF(NOT(ISNUMBER(PriceMetrics!H26)),50,IF(PriceMetrics!H26&gt;70,40,IF(PriceMetrics!H26&gt;=50,100,IF(PriceMetrics!H26&gt;=35,60,30))))</f>
        <v>50</v>
      </c>
      <c r="J26" s="5" t="n">
        <f aca="false">AVERAGE(IF(NOT(ISNUMBER(PriceMetrics!F26)),50,100*(1-(SUMPRODUCT(($B$2:$B$151=TRUE())*ISNUMBER(PriceMetrics!$F$2:$F$151)*(PriceMetrics!$F$2:$F$151&lt;PriceMetrics!F26))/MAX(1,SUMPRODUCT(($B$2:$B$151=TRUE())*ISNUMBER(PriceMetrics!$F$2:$F$151)))))),IF(NOT(ISNUMBER(PriceMetrics!G26)),50,100*(1-(SUMPRODUCT(($B$2:$B$151=TRUE())*ISNUMBER(PriceMetrics!$G$2:$G$151)*(ABS(PriceMetrics!$G$2:$G$151)&lt;ABS(PriceMetrics!G26)))/MAX(1,SUMPRODUCT(($B$2:$B$151=TRUE())*ISNUMBER(PriceMetrics!$G$2:$G$151)))))))</f>
        <v>50</v>
      </c>
      <c r="K26" s="5" t="n">
        <f aca="false">AVERAGE(H26:J26)</f>
        <v>50</v>
      </c>
      <c r="L26" s="8" t="n">
        <f aca="false">Macro!$B$26</f>
        <v>53.5</v>
      </c>
      <c r="M26" s="5" t="n">
        <f aca="false">Control!$B$3*100*G26/100+Control!$B$4*K26+Control!$B$5*L26</f>
        <v>50.7</v>
      </c>
      <c r="N26" s="3" t="n">
        <f aca="false">M26+ROW()/1000000</f>
        <v>50.700026</v>
      </c>
      <c r="O26" s="5" t="n">
        <f aca="false">M26-IF(AND(Tickers!D26="SMALLCAP100",Macro!$B$26&lt;40),Control!$B$11,0)</f>
        <v>50.7</v>
      </c>
      <c r="P26" s="3" t="str">
        <f aca="false">IF(B26=FALSE(),"-",IF(O26&gt;=Control!$B$7,"BUY",IF(O26&gt;=Control!$B$8,"ACCUMULATE",IF(O26&gt;=Control!$B$9,"HOLD","AVOID"))))</f>
        <v>HOLD</v>
      </c>
      <c r="Q26" s="3" t="str">
        <f aca="false">IF(B26=FALSE(),"",IF(OR(O26&gt;=72,O26&lt;=32),"High",IF(OR(O26&gt;=62,O26&lt;=42),"Medium","Low")))</f>
        <v>Low</v>
      </c>
      <c r="R26" s="12" t="n">
        <f aca="false">IF(P26="BUY",Control!$B$12,IF(P26="ACCUMULATE",Control!$B$13,0))</f>
        <v>0</v>
      </c>
      <c r="S26" s="3" t="str">
        <f aca="false">IF(B26=FALSE(),"",IF(T26=C26,"Rich valuation",IF(T26=E26,"Weak growth",IF(T26=F26,"Balance-sheet leverage",IF(T26=I26,"Negative momentum","High volatility/drawdown")))))</f>
        <v>Rich valuation</v>
      </c>
      <c r="T26" s="3" t="n">
        <f aca="false">MIN(C26,E26,F26,I26,J26)</f>
        <v>50</v>
      </c>
      <c r="U26" s="3" t="n">
        <f aca="false">IF(B26=TRUE(),N26,-1000+ROW()/1000000)</f>
        <v>50.700026</v>
      </c>
    </row>
    <row r="27" customFormat="false" ht="15" hidden="false" customHeight="false" outlineLevel="0" collapsed="false">
      <c r="A27" s="7" t="str">
        <f aca="false">Tickers!A27</f>
        <v>LAURUSLABS</v>
      </c>
      <c r="B27" s="19" t="b">
        <f aca="false">Tickers!F27</f>
        <v>1</v>
      </c>
      <c r="C27" s="5" t="n">
        <f aca="false">AVERAGE(IF(NOT(ISNUMBER(Fundamentals!C27)),50,IF(Fundamentals!C27&lt;=0,15,100*(1-(SUMPRODUCT(($B$2:$B$151=TRUE())*ISNUMBER(Fundamentals!$C$2:$C$151)*(Fundamentals!$C$2:$C$151&gt;0)*(Fundamentals!$C$2:$C$151&lt;Fundamentals!C27))/MAX(1,SUMPRODUCT(($B$2:$B$151=TRUE())*ISNUMBER(Fundamentals!$C$2:$C$151)*(Fundamentals!$C$2:$C$151&gt;0))))))),IF(NOT(ISNUMBER(Fundamentals!E27)),50,IF(Fundamentals!E27&lt;=0,15,100*(1-(SUMPRODUCT(($B$2:$B$151=TRUE())*ISNUMBER(Fundamentals!$E$2:$E$151)*(Fundamentals!$E$2:$E$151&gt;0)*(Fundamentals!$E$2:$E$151&lt;Fundamentals!E27))/MAX(1,SUMPRODUCT(($B$2:$B$151=TRUE())*ISNUMBER(Fundamentals!$E$2:$E$151)*(Fundamentals!$E$2:$E$151&gt;0))))))))</f>
        <v>50</v>
      </c>
      <c r="D27" s="5" t="n">
        <f aca="false">AVERAGE(IF(NOT(ISNUMBER(Fundamentals!F27)),50,100*(SUMPRODUCT(($B$2:$B$151=TRUE())*ISNUMBER(Fundamentals!$F$2:$F$151)*(Fundamentals!$F$2:$F$151&lt;Fundamentals!F27))/MAX(1,SUMPRODUCT(($B$2:$B$151=TRUE())*ISNUMBER(Fundamentals!$F$2:$F$151))))),IF(NOT(ISNUMBER(Fundamentals!J27)),50,100*(SUMPRODUCT(($B$2:$B$151=TRUE())*ISNUMBER(Fundamentals!$J$2:$J$151)*(Fundamentals!$J$2:$J$151&lt;Fundamentals!J27))/MAX(1,SUMPRODUCT(($B$2:$B$151=TRUE())*ISNUMBER(Fundamentals!$J$2:$J$151))))))</f>
        <v>50</v>
      </c>
      <c r="E27" s="5" t="n">
        <f aca="false">AVERAGE(IF(NOT(ISNUMBER(Fundamentals!H27)),50,100*(SUMPRODUCT(($B$2:$B$151=TRUE())*ISNUMBER(Fundamentals!$H$2:$H$151)*(Fundamentals!$H$2:$H$151&lt;Fundamentals!H27))/MAX(1,SUMPRODUCT(($B$2:$B$151=TRUE())*ISNUMBER(Fundamentals!$H$2:$H$151))))),IF(NOT(ISNUMBER(Fundamentals!I27)),50,100*(SUMPRODUCT(($B$2:$B$151=TRUE())*ISNUMBER(Fundamentals!$I$2:$I$151)*(Fundamentals!$I$2:$I$151&lt;Fundamentals!I27))/MAX(1,SUMPRODUCT(($B$2:$B$151=TRUE())*ISNUMBER(Fundamentals!$I$2:$I$151))))))</f>
        <v>50</v>
      </c>
      <c r="F27" s="5" t="n">
        <f aca="false">IF(Tickers!C27="Financial Services",50,IF(NOT(ISNUMBER(Fundamentals!G27)),50,100*(1-(SUMPRODUCT(($B$2:$B$151=TRUE())*ISNUMBER(Fundamentals!$G$2:$G$151)*(Fundamentals!$G$2:$G$151&lt;Fundamentals!G27))/MAX(1,SUMPRODUCT(($B$2:$B$151=TRUE())*ISNUMBER(Fundamentals!$G$2:$G$151)))))))</f>
        <v>50</v>
      </c>
      <c r="G27" s="5" t="n">
        <f aca="false">AVERAGE(C27:F27)</f>
        <v>50</v>
      </c>
      <c r="H27" s="5" t="n">
        <f aca="false">MIN(100,MAX(0,IF(NOT(ISNUMBER(PriceMetrics!K27)),50,100*(SUMPRODUCT(($B$2:$B$151=TRUE())*ISNUMBER(PriceMetrics!$K$2:$K$151)*(PriceMetrics!$K$2:$K$151&lt;PriceMetrics!K27))/MAX(1,SUMPRODUCT(($B$2:$B$151=TRUE())*ISNUMBER(PriceMetrics!$K$2:$K$151)))))+IF(ISNUMBER(PriceMetrics!L27),10*PriceMetrics!L27,0)))</f>
        <v>50</v>
      </c>
      <c r="I27" s="5" t="n">
        <f aca="false">0.6*IF(NOT(ISNUMBER(PriceMetrics!P27)),50,100*(SUMPRODUCT(($B$2:$B$151=TRUE())*ISNUMBER(PriceMetrics!$P$2:$P$151)*(PriceMetrics!$P$2:$P$151&lt;PriceMetrics!P27))/MAX(1,SUMPRODUCT(($B$2:$B$151=TRUE())*ISNUMBER(PriceMetrics!$P$2:$P$151)))))+0.4*IF(NOT(ISNUMBER(PriceMetrics!H27)),50,IF(PriceMetrics!H27&gt;70,40,IF(PriceMetrics!H27&gt;=50,100,IF(PriceMetrics!H27&gt;=35,60,30))))</f>
        <v>50</v>
      </c>
      <c r="J27" s="5" t="n">
        <f aca="false">AVERAGE(IF(NOT(ISNUMBER(PriceMetrics!F27)),50,100*(1-(SUMPRODUCT(($B$2:$B$151=TRUE())*ISNUMBER(PriceMetrics!$F$2:$F$151)*(PriceMetrics!$F$2:$F$151&lt;PriceMetrics!F27))/MAX(1,SUMPRODUCT(($B$2:$B$151=TRUE())*ISNUMBER(PriceMetrics!$F$2:$F$151)))))),IF(NOT(ISNUMBER(PriceMetrics!G27)),50,100*(1-(SUMPRODUCT(($B$2:$B$151=TRUE())*ISNUMBER(PriceMetrics!$G$2:$G$151)*(ABS(PriceMetrics!$G$2:$G$151)&lt;ABS(PriceMetrics!G27)))/MAX(1,SUMPRODUCT(($B$2:$B$151=TRUE())*ISNUMBER(PriceMetrics!$G$2:$G$151)))))))</f>
        <v>50</v>
      </c>
      <c r="K27" s="5" t="n">
        <f aca="false">AVERAGE(H27:J27)</f>
        <v>50</v>
      </c>
      <c r="L27" s="8" t="n">
        <f aca="false">Macro!$B$26</f>
        <v>53.5</v>
      </c>
      <c r="M27" s="5" t="n">
        <f aca="false">Control!$B$3*100*G27/100+Control!$B$4*K27+Control!$B$5*L27</f>
        <v>50.7</v>
      </c>
      <c r="N27" s="3" t="n">
        <f aca="false">M27+ROW()/1000000</f>
        <v>50.700027</v>
      </c>
      <c r="O27" s="5" t="n">
        <f aca="false">M27-IF(AND(Tickers!D27="SMALLCAP100",Macro!$B$26&lt;40),Control!$B$11,0)</f>
        <v>50.7</v>
      </c>
      <c r="P27" s="3" t="str">
        <f aca="false">IF(B27=FALSE(),"-",IF(O27&gt;=Control!$B$7,"BUY",IF(O27&gt;=Control!$B$8,"ACCUMULATE",IF(O27&gt;=Control!$B$9,"HOLD","AVOID"))))</f>
        <v>HOLD</v>
      </c>
      <c r="Q27" s="3" t="str">
        <f aca="false">IF(B27=FALSE(),"",IF(OR(O27&gt;=72,O27&lt;=32),"High",IF(OR(O27&gt;=62,O27&lt;=42),"Medium","Low")))</f>
        <v>Low</v>
      </c>
      <c r="R27" s="12" t="n">
        <f aca="false">IF(P27="BUY",Control!$B$12,IF(P27="ACCUMULATE",Control!$B$13,0))</f>
        <v>0</v>
      </c>
      <c r="S27" s="3" t="str">
        <f aca="false">IF(B27=FALSE(),"",IF(T27=C27,"Rich valuation",IF(T27=E27,"Weak growth",IF(T27=F27,"Balance-sheet leverage",IF(T27=I27,"Negative momentum","High volatility/drawdown")))))</f>
        <v>Rich valuation</v>
      </c>
      <c r="T27" s="3" t="n">
        <f aca="false">MIN(C27,E27,F27,I27,J27)</f>
        <v>50</v>
      </c>
      <c r="U27" s="3" t="n">
        <f aca="false">IF(B27=TRUE(),N27,-1000+ROW()/1000000)</f>
        <v>50.700027</v>
      </c>
    </row>
    <row r="28" customFormat="false" ht="15" hidden="false" customHeight="false" outlineLevel="0" collapsed="false">
      <c r="A28" s="7" t="str">
        <f aca="false">Tickers!A28</f>
        <v>LUPIN</v>
      </c>
      <c r="B28" s="19" t="b">
        <f aca="false">Tickers!F28</f>
        <v>1</v>
      </c>
      <c r="C28" s="5" t="n">
        <f aca="false">AVERAGE(IF(NOT(ISNUMBER(Fundamentals!C28)),50,IF(Fundamentals!C28&lt;=0,15,100*(1-(SUMPRODUCT(($B$2:$B$151=TRUE())*ISNUMBER(Fundamentals!$C$2:$C$151)*(Fundamentals!$C$2:$C$151&gt;0)*(Fundamentals!$C$2:$C$151&lt;Fundamentals!C28))/MAX(1,SUMPRODUCT(($B$2:$B$151=TRUE())*ISNUMBER(Fundamentals!$C$2:$C$151)*(Fundamentals!$C$2:$C$151&gt;0))))))),IF(NOT(ISNUMBER(Fundamentals!E28)),50,IF(Fundamentals!E28&lt;=0,15,100*(1-(SUMPRODUCT(($B$2:$B$151=TRUE())*ISNUMBER(Fundamentals!$E$2:$E$151)*(Fundamentals!$E$2:$E$151&gt;0)*(Fundamentals!$E$2:$E$151&lt;Fundamentals!E28))/MAX(1,SUMPRODUCT(($B$2:$B$151=TRUE())*ISNUMBER(Fundamentals!$E$2:$E$151)*(Fundamentals!$E$2:$E$151&gt;0))))))))</f>
        <v>50</v>
      </c>
      <c r="D28" s="5" t="n">
        <f aca="false">AVERAGE(IF(NOT(ISNUMBER(Fundamentals!F28)),50,100*(SUMPRODUCT(($B$2:$B$151=TRUE())*ISNUMBER(Fundamentals!$F$2:$F$151)*(Fundamentals!$F$2:$F$151&lt;Fundamentals!F28))/MAX(1,SUMPRODUCT(($B$2:$B$151=TRUE())*ISNUMBER(Fundamentals!$F$2:$F$151))))),IF(NOT(ISNUMBER(Fundamentals!J28)),50,100*(SUMPRODUCT(($B$2:$B$151=TRUE())*ISNUMBER(Fundamentals!$J$2:$J$151)*(Fundamentals!$J$2:$J$151&lt;Fundamentals!J28))/MAX(1,SUMPRODUCT(($B$2:$B$151=TRUE())*ISNUMBER(Fundamentals!$J$2:$J$151))))))</f>
        <v>50</v>
      </c>
      <c r="E28" s="5" t="n">
        <f aca="false">AVERAGE(IF(NOT(ISNUMBER(Fundamentals!H28)),50,100*(SUMPRODUCT(($B$2:$B$151=TRUE())*ISNUMBER(Fundamentals!$H$2:$H$151)*(Fundamentals!$H$2:$H$151&lt;Fundamentals!H28))/MAX(1,SUMPRODUCT(($B$2:$B$151=TRUE())*ISNUMBER(Fundamentals!$H$2:$H$151))))),IF(NOT(ISNUMBER(Fundamentals!I28)),50,100*(SUMPRODUCT(($B$2:$B$151=TRUE())*ISNUMBER(Fundamentals!$I$2:$I$151)*(Fundamentals!$I$2:$I$151&lt;Fundamentals!I28))/MAX(1,SUMPRODUCT(($B$2:$B$151=TRUE())*ISNUMBER(Fundamentals!$I$2:$I$151))))))</f>
        <v>50</v>
      </c>
      <c r="F28" s="5" t="n">
        <f aca="false">IF(Tickers!C28="Financial Services",50,IF(NOT(ISNUMBER(Fundamentals!G28)),50,100*(1-(SUMPRODUCT(($B$2:$B$151=TRUE())*ISNUMBER(Fundamentals!$G$2:$G$151)*(Fundamentals!$G$2:$G$151&lt;Fundamentals!G28))/MAX(1,SUMPRODUCT(($B$2:$B$151=TRUE())*ISNUMBER(Fundamentals!$G$2:$G$151)))))))</f>
        <v>50</v>
      </c>
      <c r="G28" s="5" t="n">
        <f aca="false">AVERAGE(C28:F28)</f>
        <v>50</v>
      </c>
      <c r="H28" s="5" t="n">
        <f aca="false">MIN(100,MAX(0,IF(NOT(ISNUMBER(PriceMetrics!K28)),50,100*(SUMPRODUCT(($B$2:$B$151=TRUE())*ISNUMBER(PriceMetrics!$K$2:$K$151)*(PriceMetrics!$K$2:$K$151&lt;PriceMetrics!K28))/MAX(1,SUMPRODUCT(($B$2:$B$151=TRUE())*ISNUMBER(PriceMetrics!$K$2:$K$151)))))+IF(ISNUMBER(PriceMetrics!L28),10*PriceMetrics!L28,0)))</f>
        <v>50</v>
      </c>
      <c r="I28" s="5" t="n">
        <f aca="false">0.6*IF(NOT(ISNUMBER(PriceMetrics!P28)),50,100*(SUMPRODUCT(($B$2:$B$151=TRUE())*ISNUMBER(PriceMetrics!$P$2:$P$151)*(PriceMetrics!$P$2:$P$151&lt;PriceMetrics!P28))/MAX(1,SUMPRODUCT(($B$2:$B$151=TRUE())*ISNUMBER(PriceMetrics!$P$2:$P$151)))))+0.4*IF(NOT(ISNUMBER(PriceMetrics!H28)),50,IF(PriceMetrics!H28&gt;70,40,IF(PriceMetrics!H28&gt;=50,100,IF(PriceMetrics!H28&gt;=35,60,30))))</f>
        <v>50</v>
      </c>
      <c r="J28" s="5" t="n">
        <f aca="false">AVERAGE(IF(NOT(ISNUMBER(PriceMetrics!F28)),50,100*(1-(SUMPRODUCT(($B$2:$B$151=TRUE())*ISNUMBER(PriceMetrics!$F$2:$F$151)*(PriceMetrics!$F$2:$F$151&lt;PriceMetrics!F28))/MAX(1,SUMPRODUCT(($B$2:$B$151=TRUE())*ISNUMBER(PriceMetrics!$F$2:$F$151)))))),IF(NOT(ISNUMBER(PriceMetrics!G28)),50,100*(1-(SUMPRODUCT(($B$2:$B$151=TRUE())*ISNUMBER(PriceMetrics!$G$2:$G$151)*(ABS(PriceMetrics!$G$2:$G$151)&lt;ABS(PriceMetrics!G28)))/MAX(1,SUMPRODUCT(($B$2:$B$151=TRUE())*ISNUMBER(PriceMetrics!$G$2:$G$151)))))))</f>
        <v>50</v>
      </c>
      <c r="K28" s="5" t="n">
        <f aca="false">AVERAGE(H28:J28)</f>
        <v>50</v>
      </c>
      <c r="L28" s="8" t="n">
        <f aca="false">Macro!$B$26</f>
        <v>53.5</v>
      </c>
      <c r="M28" s="5" t="n">
        <f aca="false">Control!$B$3*100*G28/100+Control!$B$4*K28+Control!$B$5*L28</f>
        <v>50.7</v>
      </c>
      <c r="N28" s="3" t="n">
        <f aca="false">M28+ROW()/1000000</f>
        <v>50.700028</v>
      </c>
      <c r="O28" s="5" t="n">
        <f aca="false">M28-IF(AND(Tickers!D28="SMALLCAP100",Macro!$B$26&lt;40),Control!$B$11,0)</f>
        <v>50.7</v>
      </c>
      <c r="P28" s="3" t="str">
        <f aca="false">IF(B28=FALSE(),"-",IF(O28&gt;=Control!$B$7,"BUY",IF(O28&gt;=Control!$B$8,"ACCUMULATE",IF(O28&gt;=Control!$B$9,"HOLD","AVOID"))))</f>
        <v>HOLD</v>
      </c>
      <c r="Q28" s="3" t="str">
        <f aca="false">IF(B28=FALSE(),"",IF(OR(O28&gt;=72,O28&lt;=32),"High",IF(OR(O28&gt;=62,O28&lt;=42),"Medium","Low")))</f>
        <v>Low</v>
      </c>
      <c r="R28" s="12" t="n">
        <f aca="false">IF(P28="BUY",Control!$B$12,IF(P28="ACCUMULATE",Control!$B$13,0))</f>
        <v>0</v>
      </c>
      <c r="S28" s="3" t="str">
        <f aca="false">IF(B28=FALSE(),"",IF(T28=C28,"Rich valuation",IF(T28=E28,"Weak growth",IF(T28=F28,"Balance-sheet leverage",IF(T28=I28,"Negative momentum","High volatility/drawdown")))))</f>
        <v>Rich valuation</v>
      </c>
      <c r="T28" s="3" t="n">
        <f aca="false">MIN(C28,E28,F28,I28,J28)</f>
        <v>50</v>
      </c>
      <c r="U28" s="3" t="n">
        <f aca="false">IF(B28=TRUE(),N28,-1000+ROW()/1000000)</f>
        <v>50.700028</v>
      </c>
    </row>
    <row r="29" customFormat="false" ht="15" hidden="false" customHeight="false" outlineLevel="0" collapsed="false">
      <c r="A29" s="7" t="str">
        <f aca="false">Tickers!A29</f>
        <v>MANKIND</v>
      </c>
      <c r="B29" s="19" t="b">
        <f aca="false">Tickers!F29</f>
        <v>1</v>
      </c>
      <c r="C29" s="5" t="n">
        <f aca="false">AVERAGE(IF(NOT(ISNUMBER(Fundamentals!C29)),50,IF(Fundamentals!C29&lt;=0,15,100*(1-(SUMPRODUCT(($B$2:$B$151=TRUE())*ISNUMBER(Fundamentals!$C$2:$C$151)*(Fundamentals!$C$2:$C$151&gt;0)*(Fundamentals!$C$2:$C$151&lt;Fundamentals!C29))/MAX(1,SUMPRODUCT(($B$2:$B$151=TRUE())*ISNUMBER(Fundamentals!$C$2:$C$151)*(Fundamentals!$C$2:$C$151&gt;0))))))),IF(NOT(ISNUMBER(Fundamentals!E29)),50,IF(Fundamentals!E29&lt;=0,15,100*(1-(SUMPRODUCT(($B$2:$B$151=TRUE())*ISNUMBER(Fundamentals!$E$2:$E$151)*(Fundamentals!$E$2:$E$151&gt;0)*(Fundamentals!$E$2:$E$151&lt;Fundamentals!E29))/MAX(1,SUMPRODUCT(($B$2:$B$151=TRUE())*ISNUMBER(Fundamentals!$E$2:$E$151)*(Fundamentals!$E$2:$E$151&gt;0))))))))</f>
        <v>50</v>
      </c>
      <c r="D29" s="5" t="n">
        <f aca="false">AVERAGE(IF(NOT(ISNUMBER(Fundamentals!F29)),50,100*(SUMPRODUCT(($B$2:$B$151=TRUE())*ISNUMBER(Fundamentals!$F$2:$F$151)*(Fundamentals!$F$2:$F$151&lt;Fundamentals!F29))/MAX(1,SUMPRODUCT(($B$2:$B$151=TRUE())*ISNUMBER(Fundamentals!$F$2:$F$151))))),IF(NOT(ISNUMBER(Fundamentals!J29)),50,100*(SUMPRODUCT(($B$2:$B$151=TRUE())*ISNUMBER(Fundamentals!$J$2:$J$151)*(Fundamentals!$J$2:$J$151&lt;Fundamentals!J29))/MAX(1,SUMPRODUCT(($B$2:$B$151=TRUE())*ISNUMBER(Fundamentals!$J$2:$J$151))))))</f>
        <v>50</v>
      </c>
      <c r="E29" s="5" t="n">
        <f aca="false">AVERAGE(IF(NOT(ISNUMBER(Fundamentals!H29)),50,100*(SUMPRODUCT(($B$2:$B$151=TRUE())*ISNUMBER(Fundamentals!$H$2:$H$151)*(Fundamentals!$H$2:$H$151&lt;Fundamentals!H29))/MAX(1,SUMPRODUCT(($B$2:$B$151=TRUE())*ISNUMBER(Fundamentals!$H$2:$H$151))))),IF(NOT(ISNUMBER(Fundamentals!I29)),50,100*(SUMPRODUCT(($B$2:$B$151=TRUE())*ISNUMBER(Fundamentals!$I$2:$I$151)*(Fundamentals!$I$2:$I$151&lt;Fundamentals!I29))/MAX(1,SUMPRODUCT(($B$2:$B$151=TRUE())*ISNUMBER(Fundamentals!$I$2:$I$151))))))</f>
        <v>50</v>
      </c>
      <c r="F29" s="5" t="n">
        <f aca="false">IF(Tickers!C29="Financial Services",50,IF(NOT(ISNUMBER(Fundamentals!G29)),50,100*(1-(SUMPRODUCT(($B$2:$B$151=TRUE())*ISNUMBER(Fundamentals!$G$2:$G$151)*(Fundamentals!$G$2:$G$151&lt;Fundamentals!G29))/MAX(1,SUMPRODUCT(($B$2:$B$151=TRUE())*ISNUMBER(Fundamentals!$G$2:$G$151)))))))</f>
        <v>50</v>
      </c>
      <c r="G29" s="5" t="n">
        <f aca="false">AVERAGE(C29:F29)</f>
        <v>50</v>
      </c>
      <c r="H29" s="5" t="n">
        <f aca="false">MIN(100,MAX(0,IF(NOT(ISNUMBER(PriceMetrics!K29)),50,100*(SUMPRODUCT(($B$2:$B$151=TRUE())*ISNUMBER(PriceMetrics!$K$2:$K$151)*(PriceMetrics!$K$2:$K$151&lt;PriceMetrics!K29))/MAX(1,SUMPRODUCT(($B$2:$B$151=TRUE())*ISNUMBER(PriceMetrics!$K$2:$K$151)))))+IF(ISNUMBER(PriceMetrics!L29),10*PriceMetrics!L29,0)))</f>
        <v>50</v>
      </c>
      <c r="I29" s="5" t="n">
        <f aca="false">0.6*IF(NOT(ISNUMBER(PriceMetrics!P29)),50,100*(SUMPRODUCT(($B$2:$B$151=TRUE())*ISNUMBER(PriceMetrics!$P$2:$P$151)*(PriceMetrics!$P$2:$P$151&lt;PriceMetrics!P29))/MAX(1,SUMPRODUCT(($B$2:$B$151=TRUE())*ISNUMBER(PriceMetrics!$P$2:$P$151)))))+0.4*IF(NOT(ISNUMBER(PriceMetrics!H29)),50,IF(PriceMetrics!H29&gt;70,40,IF(PriceMetrics!H29&gt;=50,100,IF(PriceMetrics!H29&gt;=35,60,30))))</f>
        <v>50</v>
      </c>
      <c r="J29" s="5" t="n">
        <f aca="false">AVERAGE(IF(NOT(ISNUMBER(PriceMetrics!F29)),50,100*(1-(SUMPRODUCT(($B$2:$B$151=TRUE())*ISNUMBER(PriceMetrics!$F$2:$F$151)*(PriceMetrics!$F$2:$F$151&lt;PriceMetrics!F29))/MAX(1,SUMPRODUCT(($B$2:$B$151=TRUE())*ISNUMBER(PriceMetrics!$F$2:$F$151)))))),IF(NOT(ISNUMBER(PriceMetrics!G29)),50,100*(1-(SUMPRODUCT(($B$2:$B$151=TRUE())*ISNUMBER(PriceMetrics!$G$2:$G$151)*(ABS(PriceMetrics!$G$2:$G$151)&lt;ABS(PriceMetrics!G29)))/MAX(1,SUMPRODUCT(($B$2:$B$151=TRUE())*ISNUMBER(PriceMetrics!$G$2:$G$151)))))))</f>
        <v>50</v>
      </c>
      <c r="K29" s="5" t="n">
        <f aca="false">AVERAGE(H29:J29)</f>
        <v>50</v>
      </c>
      <c r="L29" s="8" t="n">
        <f aca="false">Macro!$B$26</f>
        <v>53.5</v>
      </c>
      <c r="M29" s="5" t="n">
        <f aca="false">Control!$B$3*100*G29/100+Control!$B$4*K29+Control!$B$5*L29</f>
        <v>50.7</v>
      </c>
      <c r="N29" s="3" t="n">
        <f aca="false">M29+ROW()/1000000</f>
        <v>50.700029</v>
      </c>
      <c r="O29" s="5" t="n">
        <f aca="false">M29-IF(AND(Tickers!D29="SMALLCAP100",Macro!$B$26&lt;40),Control!$B$11,0)</f>
        <v>50.7</v>
      </c>
      <c r="P29" s="3" t="str">
        <f aca="false">IF(B29=FALSE(),"-",IF(O29&gt;=Control!$B$7,"BUY",IF(O29&gt;=Control!$B$8,"ACCUMULATE",IF(O29&gt;=Control!$B$9,"HOLD","AVOID"))))</f>
        <v>HOLD</v>
      </c>
      <c r="Q29" s="3" t="str">
        <f aca="false">IF(B29=FALSE(),"",IF(OR(O29&gt;=72,O29&lt;=32),"High",IF(OR(O29&gt;=62,O29&lt;=42),"Medium","Low")))</f>
        <v>Low</v>
      </c>
      <c r="R29" s="12" t="n">
        <f aca="false">IF(P29="BUY",Control!$B$12,IF(P29="ACCUMULATE",Control!$B$13,0))</f>
        <v>0</v>
      </c>
      <c r="S29" s="3" t="str">
        <f aca="false">IF(B29=FALSE(),"",IF(T29=C29,"Rich valuation",IF(T29=E29,"Weak growth",IF(T29=F29,"Balance-sheet leverage",IF(T29=I29,"Negative momentum","High volatility/drawdown")))))</f>
        <v>Rich valuation</v>
      </c>
      <c r="T29" s="3" t="n">
        <f aca="false">MIN(C29,E29,F29,I29,J29)</f>
        <v>50</v>
      </c>
      <c r="U29" s="3" t="n">
        <f aca="false">IF(B29=TRUE(),N29,-1000+ROW()/1000000)</f>
        <v>50.700029</v>
      </c>
    </row>
    <row r="30" customFormat="false" ht="15" hidden="false" customHeight="false" outlineLevel="0" collapsed="false">
      <c r="A30" s="7" t="str">
        <f aca="false">Tickers!A30</f>
        <v>MARICO</v>
      </c>
      <c r="B30" s="19" t="b">
        <f aca="false">Tickers!F30</f>
        <v>1</v>
      </c>
      <c r="C30" s="5" t="n">
        <f aca="false">AVERAGE(IF(NOT(ISNUMBER(Fundamentals!C30)),50,IF(Fundamentals!C30&lt;=0,15,100*(1-(SUMPRODUCT(($B$2:$B$151=TRUE())*ISNUMBER(Fundamentals!$C$2:$C$151)*(Fundamentals!$C$2:$C$151&gt;0)*(Fundamentals!$C$2:$C$151&lt;Fundamentals!C30))/MAX(1,SUMPRODUCT(($B$2:$B$151=TRUE())*ISNUMBER(Fundamentals!$C$2:$C$151)*(Fundamentals!$C$2:$C$151&gt;0))))))),IF(NOT(ISNUMBER(Fundamentals!E30)),50,IF(Fundamentals!E30&lt;=0,15,100*(1-(SUMPRODUCT(($B$2:$B$151=TRUE())*ISNUMBER(Fundamentals!$E$2:$E$151)*(Fundamentals!$E$2:$E$151&gt;0)*(Fundamentals!$E$2:$E$151&lt;Fundamentals!E30))/MAX(1,SUMPRODUCT(($B$2:$B$151=TRUE())*ISNUMBER(Fundamentals!$E$2:$E$151)*(Fundamentals!$E$2:$E$151&gt;0))))))))</f>
        <v>50</v>
      </c>
      <c r="D30" s="5" t="n">
        <f aca="false">AVERAGE(IF(NOT(ISNUMBER(Fundamentals!F30)),50,100*(SUMPRODUCT(($B$2:$B$151=TRUE())*ISNUMBER(Fundamentals!$F$2:$F$151)*(Fundamentals!$F$2:$F$151&lt;Fundamentals!F30))/MAX(1,SUMPRODUCT(($B$2:$B$151=TRUE())*ISNUMBER(Fundamentals!$F$2:$F$151))))),IF(NOT(ISNUMBER(Fundamentals!J30)),50,100*(SUMPRODUCT(($B$2:$B$151=TRUE())*ISNUMBER(Fundamentals!$J$2:$J$151)*(Fundamentals!$J$2:$J$151&lt;Fundamentals!J30))/MAX(1,SUMPRODUCT(($B$2:$B$151=TRUE())*ISNUMBER(Fundamentals!$J$2:$J$151))))))</f>
        <v>50</v>
      </c>
      <c r="E30" s="5" t="n">
        <f aca="false">AVERAGE(IF(NOT(ISNUMBER(Fundamentals!H30)),50,100*(SUMPRODUCT(($B$2:$B$151=TRUE())*ISNUMBER(Fundamentals!$H$2:$H$151)*(Fundamentals!$H$2:$H$151&lt;Fundamentals!H30))/MAX(1,SUMPRODUCT(($B$2:$B$151=TRUE())*ISNUMBER(Fundamentals!$H$2:$H$151))))),IF(NOT(ISNUMBER(Fundamentals!I30)),50,100*(SUMPRODUCT(($B$2:$B$151=TRUE())*ISNUMBER(Fundamentals!$I$2:$I$151)*(Fundamentals!$I$2:$I$151&lt;Fundamentals!I30))/MAX(1,SUMPRODUCT(($B$2:$B$151=TRUE())*ISNUMBER(Fundamentals!$I$2:$I$151))))))</f>
        <v>50</v>
      </c>
      <c r="F30" s="5" t="n">
        <f aca="false">IF(Tickers!C30="Financial Services",50,IF(NOT(ISNUMBER(Fundamentals!G30)),50,100*(1-(SUMPRODUCT(($B$2:$B$151=TRUE())*ISNUMBER(Fundamentals!$G$2:$G$151)*(Fundamentals!$G$2:$G$151&lt;Fundamentals!G30))/MAX(1,SUMPRODUCT(($B$2:$B$151=TRUE())*ISNUMBER(Fundamentals!$G$2:$G$151)))))))</f>
        <v>50</v>
      </c>
      <c r="G30" s="5" t="n">
        <f aca="false">AVERAGE(C30:F30)</f>
        <v>50</v>
      </c>
      <c r="H30" s="5" t="n">
        <f aca="false">MIN(100,MAX(0,IF(NOT(ISNUMBER(PriceMetrics!K30)),50,100*(SUMPRODUCT(($B$2:$B$151=TRUE())*ISNUMBER(PriceMetrics!$K$2:$K$151)*(PriceMetrics!$K$2:$K$151&lt;PriceMetrics!K30))/MAX(1,SUMPRODUCT(($B$2:$B$151=TRUE())*ISNUMBER(PriceMetrics!$K$2:$K$151)))))+IF(ISNUMBER(PriceMetrics!L30),10*PriceMetrics!L30,0)))</f>
        <v>50</v>
      </c>
      <c r="I30" s="5" t="n">
        <f aca="false">0.6*IF(NOT(ISNUMBER(PriceMetrics!P30)),50,100*(SUMPRODUCT(($B$2:$B$151=TRUE())*ISNUMBER(PriceMetrics!$P$2:$P$151)*(PriceMetrics!$P$2:$P$151&lt;PriceMetrics!P30))/MAX(1,SUMPRODUCT(($B$2:$B$151=TRUE())*ISNUMBER(PriceMetrics!$P$2:$P$151)))))+0.4*IF(NOT(ISNUMBER(PriceMetrics!H30)),50,IF(PriceMetrics!H30&gt;70,40,IF(PriceMetrics!H30&gt;=50,100,IF(PriceMetrics!H30&gt;=35,60,30))))</f>
        <v>50</v>
      </c>
      <c r="J30" s="5" t="n">
        <f aca="false">AVERAGE(IF(NOT(ISNUMBER(PriceMetrics!F30)),50,100*(1-(SUMPRODUCT(($B$2:$B$151=TRUE())*ISNUMBER(PriceMetrics!$F$2:$F$151)*(PriceMetrics!$F$2:$F$151&lt;PriceMetrics!F30))/MAX(1,SUMPRODUCT(($B$2:$B$151=TRUE())*ISNUMBER(PriceMetrics!$F$2:$F$151)))))),IF(NOT(ISNUMBER(PriceMetrics!G30)),50,100*(1-(SUMPRODUCT(($B$2:$B$151=TRUE())*ISNUMBER(PriceMetrics!$G$2:$G$151)*(ABS(PriceMetrics!$G$2:$G$151)&lt;ABS(PriceMetrics!G30)))/MAX(1,SUMPRODUCT(($B$2:$B$151=TRUE())*ISNUMBER(PriceMetrics!$G$2:$G$151)))))))</f>
        <v>50</v>
      </c>
      <c r="K30" s="5" t="n">
        <f aca="false">AVERAGE(H30:J30)</f>
        <v>50</v>
      </c>
      <c r="L30" s="8" t="n">
        <f aca="false">Macro!$B$26</f>
        <v>53.5</v>
      </c>
      <c r="M30" s="5" t="n">
        <f aca="false">Control!$B$3*100*G30/100+Control!$B$4*K30+Control!$B$5*L30</f>
        <v>50.7</v>
      </c>
      <c r="N30" s="3" t="n">
        <f aca="false">M30+ROW()/1000000</f>
        <v>50.70003</v>
      </c>
      <c r="O30" s="5" t="n">
        <f aca="false">M30-IF(AND(Tickers!D30="SMALLCAP100",Macro!$B$26&lt;40),Control!$B$11,0)</f>
        <v>50.7</v>
      </c>
      <c r="P30" s="3" t="str">
        <f aca="false">IF(B30=FALSE(),"-",IF(O30&gt;=Control!$B$7,"BUY",IF(O30&gt;=Control!$B$8,"ACCUMULATE",IF(O30&gt;=Control!$B$9,"HOLD","AVOID"))))</f>
        <v>HOLD</v>
      </c>
      <c r="Q30" s="3" t="str">
        <f aca="false">IF(B30=FALSE(),"",IF(OR(O30&gt;=72,O30&lt;=32),"High",IF(OR(O30&gt;=62,O30&lt;=42),"Medium","Low")))</f>
        <v>Low</v>
      </c>
      <c r="R30" s="12" t="n">
        <f aca="false">IF(P30="BUY",Control!$B$12,IF(P30="ACCUMULATE",Control!$B$13,0))</f>
        <v>0</v>
      </c>
      <c r="S30" s="3" t="str">
        <f aca="false">IF(B30=FALSE(),"",IF(T30=C30,"Rich valuation",IF(T30=E30,"Weak growth",IF(T30=F30,"Balance-sheet leverage",IF(T30=I30,"Negative momentum","High volatility/drawdown")))))</f>
        <v>Rich valuation</v>
      </c>
      <c r="T30" s="3" t="n">
        <f aca="false">MIN(C30,E30,F30,I30,J30)</f>
        <v>50</v>
      </c>
      <c r="U30" s="3" t="n">
        <f aca="false">IF(B30=TRUE(),N30,-1000+ROW()/1000000)</f>
        <v>50.70003</v>
      </c>
    </row>
    <row r="31" customFormat="false" ht="15" hidden="false" customHeight="false" outlineLevel="0" collapsed="false">
      <c r="A31" s="7" t="str">
        <f aca="false">Tickers!A31</f>
        <v>MFSL</v>
      </c>
      <c r="B31" s="19" t="b">
        <f aca="false">Tickers!F31</f>
        <v>1</v>
      </c>
      <c r="C31" s="5" t="n">
        <f aca="false">AVERAGE(IF(NOT(ISNUMBER(Fundamentals!C31)),50,IF(Fundamentals!C31&lt;=0,15,100*(1-(SUMPRODUCT(($B$2:$B$151=TRUE())*ISNUMBER(Fundamentals!$C$2:$C$151)*(Fundamentals!$C$2:$C$151&gt;0)*(Fundamentals!$C$2:$C$151&lt;Fundamentals!C31))/MAX(1,SUMPRODUCT(($B$2:$B$151=TRUE())*ISNUMBER(Fundamentals!$C$2:$C$151)*(Fundamentals!$C$2:$C$151&gt;0))))))),IF(NOT(ISNUMBER(Fundamentals!E31)),50,IF(Fundamentals!E31&lt;=0,15,100*(1-(SUMPRODUCT(($B$2:$B$151=TRUE())*ISNUMBER(Fundamentals!$E$2:$E$151)*(Fundamentals!$E$2:$E$151&gt;0)*(Fundamentals!$E$2:$E$151&lt;Fundamentals!E31))/MAX(1,SUMPRODUCT(($B$2:$B$151=TRUE())*ISNUMBER(Fundamentals!$E$2:$E$151)*(Fundamentals!$E$2:$E$151&gt;0))))))))</f>
        <v>50</v>
      </c>
      <c r="D31" s="5" t="n">
        <f aca="false">AVERAGE(IF(NOT(ISNUMBER(Fundamentals!F31)),50,100*(SUMPRODUCT(($B$2:$B$151=TRUE())*ISNUMBER(Fundamentals!$F$2:$F$151)*(Fundamentals!$F$2:$F$151&lt;Fundamentals!F31))/MAX(1,SUMPRODUCT(($B$2:$B$151=TRUE())*ISNUMBER(Fundamentals!$F$2:$F$151))))),IF(NOT(ISNUMBER(Fundamentals!J31)),50,100*(SUMPRODUCT(($B$2:$B$151=TRUE())*ISNUMBER(Fundamentals!$J$2:$J$151)*(Fundamentals!$J$2:$J$151&lt;Fundamentals!J31))/MAX(1,SUMPRODUCT(($B$2:$B$151=TRUE())*ISNUMBER(Fundamentals!$J$2:$J$151))))))</f>
        <v>50</v>
      </c>
      <c r="E31" s="5" t="n">
        <f aca="false">AVERAGE(IF(NOT(ISNUMBER(Fundamentals!H31)),50,100*(SUMPRODUCT(($B$2:$B$151=TRUE())*ISNUMBER(Fundamentals!$H$2:$H$151)*(Fundamentals!$H$2:$H$151&lt;Fundamentals!H31))/MAX(1,SUMPRODUCT(($B$2:$B$151=TRUE())*ISNUMBER(Fundamentals!$H$2:$H$151))))),IF(NOT(ISNUMBER(Fundamentals!I31)),50,100*(SUMPRODUCT(($B$2:$B$151=TRUE())*ISNUMBER(Fundamentals!$I$2:$I$151)*(Fundamentals!$I$2:$I$151&lt;Fundamentals!I31))/MAX(1,SUMPRODUCT(($B$2:$B$151=TRUE())*ISNUMBER(Fundamentals!$I$2:$I$151))))))</f>
        <v>50</v>
      </c>
      <c r="F31" s="5" t="n">
        <f aca="false">IF(Tickers!C31="Financial Services",50,IF(NOT(ISNUMBER(Fundamentals!G31)),50,100*(1-(SUMPRODUCT(($B$2:$B$151=TRUE())*ISNUMBER(Fundamentals!$G$2:$G$151)*(Fundamentals!$G$2:$G$151&lt;Fundamentals!G31))/MAX(1,SUMPRODUCT(($B$2:$B$151=TRUE())*ISNUMBER(Fundamentals!$G$2:$G$151)))))))</f>
        <v>50</v>
      </c>
      <c r="G31" s="5" t="n">
        <f aca="false">AVERAGE(C31:F31)</f>
        <v>50</v>
      </c>
      <c r="H31" s="5" t="n">
        <f aca="false">MIN(100,MAX(0,IF(NOT(ISNUMBER(PriceMetrics!K31)),50,100*(SUMPRODUCT(($B$2:$B$151=TRUE())*ISNUMBER(PriceMetrics!$K$2:$K$151)*(PriceMetrics!$K$2:$K$151&lt;PriceMetrics!K31))/MAX(1,SUMPRODUCT(($B$2:$B$151=TRUE())*ISNUMBER(PriceMetrics!$K$2:$K$151)))))+IF(ISNUMBER(PriceMetrics!L31),10*PriceMetrics!L31,0)))</f>
        <v>50</v>
      </c>
      <c r="I31" s="5" t="n">
        <f aca="false">0.6*IF(NOT(ISNUMBER(PriceMetrics!P31)),50,100*(SUMPRODUCT(($B$2:$B$151=TRUE())*ISNUMBER(PriceMetrics!$P$2:$P$151)*(PriceMetrics!$P$2:$P$151&lt;PriceMetrics!P31))/MAX(1,SUMPRODUCT(($B$2:$B$151=TRUE())*ISNUMBER(PriceMetrics!$P$2:$P$151)))))+0.4*IF(NOT(ISNUMBER(PriceMetrics!H31)),50,IF(PriceMetrics!H31&gt;70,40,IF(PriceMetrics!H31&gt;=50,100,IF(PriceMetrics!H31&gt;=35,60,30))))</f>
        <v>50</v>
      </c>
      <c r="J31" s="5" t="n">
        <f aca="false">AVERAGE(IF(NOT(ISNUMBER(PriceMetrics!F31)),50,100*(1-(SUMPRODUCT(($B$2:$B$151=TRUE())*ISNUMBER(PriceMetrics!$F$2:$F$151)*(PriceMetrics!$F$2:$F$151&lt;PriceMetrics!F31))/MAX(1,SUMPRODUCT(($B$2:$B$151=TRUE())*ISNUMBER(PriceMetrics!$F$2:$F$151)))))),IF(NOT(ISNUMBER(PriceMetrics!G31)),50,100*(1-(SUMPRODUCT(($B$2:$B$151=TRUE())*ISNUMBER(PriceMetrics!$G$2:$G$151)*(ABS(PriceMetrics!$G$2:$G$151)&lt;ABS(PriceMetrics!G31)))/MAX(1,SUMPRODUCT(($B$2:$B$151=TRUE())*ISNUMBER(PriceMetrics!$G$2:$G$151)))))))</f>
        <v>50</v>
      </c>
      <c r="K31" s="5" t="n">
        <f aca="false">AVERAGE(H31:J31)</f>
        <v>50</v>
      </c>
      <c r="L31" s="8" t="n">
        <f aca="false">Macro!$B$26</f>
        <v>53.5</v>
      </c>
      <c r="M31" s="5" t="n">
        <f aca="false">Control!$B$3*100*G31/100+Control!$B$4*K31+Control!$B$5*L31</f>
        <v>50.7</v>
      </c>
      <c r="N31" s="3" t="n">
        <f aca="false">M31+ROW()/1000000</f>
        <v>50.700031</v>
      </c>
      <c r="O31" s="5" t="n">
        <f aca="false">M31-IF(AND(Tickers!D31="SMALLCAP100",Macro!$B$26&lt;40),Control!$B$11,0)</f>
        <v>50.7</v>
      </c>
      <c r="P31" s="3" t="str">
        <f aca="false">IF(B31=FALSE(),"-",IF(O31&gt;=Control!$B$7,"BUY",IF(O31&gt;=Control!$B$8,"ACCUMULATE",IF(O31&gt;=Control!$B$9,"HOLD","AVOID"))))</f>
        <v>HOLD</v>
      </c>
      <c r="Q31" s="3" t="str">
        <f aca="false">IF(B31=FALSE(),"",IF(OR(O31&gt;=72,O31&lt;=32),"High",IF(OR(O31&gt;=62,O31&lt;=42),"Medium","Low")))</f>
        <v>Low</v>
      </c>
      <c r="R31" s="12" t="n">
        <f aca="false">IF(P31="BUY",Control!$B$12,IF(P31="ACCUMULATE",Control!$B$13,0))</f>
        <v>0</v>
      </c>
      <c r="S31" s="3" t="str">
        <f aca="false">IF(B31=FALSE(),"",IF(T31=C31,"Rich valuation",IF(T31=E31,"Weak growth",IF(T31=F31,"Balance-sheet leverage",IF(T31=I31,"Negative momentum","High volatility/drawdown")))))</f>
        <v>Rich valuation</v>
      </c>
      <c r="T31" s="3" t="n">
        <f aca="false">MIN(C31,E31,F31,I31,J31)</f>
        <v>50</v>
      </c>
      <c r="U31" s="3" t="n">
        <f aca="false">IF(B31=TRUE(),N31,-1000+ROW()/1000000)</f>
        <v>50.700031</v>
      </c>
    </row>
    <row r="32" customFormat="false" ht="15" hidden="false" customHeight="false" outlineLevel="0" collapsed="false">
      <c r="A32" s="7" t="str">
        <f aca="false">Tickers!A32</f>
        <v>MPHASIS</v>
      </c>
      <c r="B32" s="19" t="b">
        <f aca="false">Tickers!F32</f>
        <v>1</v>
      </c>
      <c r="C32" s="5" t="n">
        <f aca="false">AVERAGE(IF(NOT(ISNUMBER(Fundamentals!C32)),50,IF(Fundamentals!C32&lt;=0,15,100*(1-(SUMPRODUCT(($B$2:$B$151=TRUE())*ISNUMBER(Fundamentals!$C$2:$C$151)*(Fundamentals!$C$2:$C$151&gt;0)*(Fundamentals!$C$2:$C$151&lt;Fundamentals!C32))/MAX(1,SUMPRODUCT(($B$2:$B$151=TRUE())*ISNUMBER(Fundamentals!$C$2:$C$151)*(Fundamentals!$C$2:$C$151&gt;0))))))),IF(NOT(ISNUMBER(Fundamentals!E32)),50,IF(Fundamentals!E32&lt;=0,15,100*(1-(SUMPRODUCT(($B$2:$B$151=TRUE())*ISNUMBER(Fundamentals!$E$2:$E$151)*(Fundamentals!$E$2:$E$151&gt;0)*(Fundamentals!$E$2:$E$151&lt;Fundamentals!E32))/MAX(1,SUMPRODUCT(($B$2:$B$151=TRUE())*ISNUMBER(Fundamentals!$E$2:$E$151)*(Fundamentals!$E$2:$E$151&gt;0))))))))</f>
        <v>50</v>
      </c>
      <c r="D32" s="5" t="n">
        <f aca="false">AVERAGE(IF(NOT(ISNUMBER(Fundamentals!F32)),50,100*(SUMPRODUCT(($B$2:$B$151=TRUE())*ISNUMBER(Fundamentals!$F$2:$F$151)*(Fundamentals!$F$2:$F$151&lt;Fundamentals!F32))/MAX(1,SUMPRODUCT(($B$2:$B$151=TRUE())*ISNUMBER(Fundamentals!$F$2:$F$151))))),IF(NOT(ISNUMBER(Fundamentals!J32)),50,100*(SUMPRODUCT(($B$2:$B$151=TRUE())*ISNUMBER(Fundamentals!$J$2:$J$151)*(Fundamentals!$J$2:$J$151&lt;Fundamentals!J32))/MAX(1,SUMPRODUCT(($B$2:$B$151=TRUE())*ISNUMBER(Fundamentals!$J$2:$J$151))))))</f>
        <v>50</v>
      </c>
      <c r="E32" s="5" t="n">
        <f aca="false">AVERAGE(IF(NOT(ISNUMBER(Fundamentals!H32)),50,100*(SUMPRODUCT(($B$2:$B$151=TRUE())*ISNUMBER(Fundamentals!$H$2:$H$151)*(Fundamentals!$H$2:$H$151&lt;Fundamentals!H32))/MAX(1,SUMPRODUCT(($B$2:$B$151=TRUE())*ISNUMBER(Fundamentals!$H$2:$H$151))))),IF(NOT(ISNUMBER(Fundamentals!I32)),50,100*(SUMPRODUCT(($B$2:$B$151=TRUE())*ISNUMBER(Fundamentals!$I$2:$I$151)*(Fundamentals!$I$2:$I$151&lt;Fundamentals!I32))/MAX(1,SUMPRODUCT(($B$2:$B$151=TRUE())*ISNUMBER(Fundamentals!$I$2:$I$151))))))</f>
        <v>50</v>
      </c>
      <c r="F32" s="5" t="n">
        <f aca="false">IF(Tickers!C32="Financial Services",50,IF(NOT(ISNUMBER(Fundamentals!G32)),50,100*(1-(SUMPRODUCT(($B$2:$B$151=TRUE())*ISNUMBER(Fundamentals!$G$2:$G$151)*(Fundamentals!$G$2:$G$151&lt;Fundamentals!G32))/MAX(1,SUMPRODUCT(($B$2:$B$151=TRUE())*ISNUMBER(Fundamentals!$G$2:$G$151)))))))</f>
        <v>50</v>
      </c>
      <c r="G32" s="5" t="n">
        <f aca="false">AVERAGE(C32:F32)</f>
        <v>50</v>
      </c>
      <c r="H32" s="5" t="n">
        <f aca="false">MIN(100,MAX(0,IF(NOT(ISNUMBER(PriceMetrics!K32)),50,100*(SUMPRODUCT(($B$2:$B$151=TRUE())*ISNUMBER(PriceMetrics!$K$2:$K$151)*(PriceMetrics!$K$2:$K$151&lt;PriceMetrics!K32))/MAX(1,SUMPRODUCT(($B$2:$B$151=TRUE())*ISNUMBER(PriceMetrics!$K$2:$K$151)))))+IF(ISNUMBER(PriceMetrics!L32),10*PriceMetrics!L32,0)))</f>
        <v>50</v>
      </c>
      <c r="I32" s="5" t="n">
        <f aca="false">0.6*IF(NOT(ISNUMBER(PriceMetrics!P32)),50,100*(SUMPRODUCT(($B$2:$B$151=TRUE())*ISNUMBER(PriceMetrics!$P$2:$P$151)*(PriceMetrics!$P$2:$P$151&lt;PriceMetrics!P32))/MAX(1,SUMPRODUCT(($B$2:$B$151=TRUE())*ISNUMBER(PriceMetrics!$P$2:$P$151)))))+0.4*IF(NOT(ISNUMBER(PriceMetrics!H32)),50,IF(PriceMetrics!H32&gt;70,40,IF(PriceMetrics!H32&gt;=50,100,IF(PriceMetrics!H32&gt;=35,60,30))))</f>
        <v>50</v>
      </c>
      <c r="J32" s="5" t="n">
        <f aca="false">AVERAGE(IF(NOT(ISNUMBER(PriceMetrics!F32)),50,100*(1-(SUMPRODUCT(($B$2:$B$151=TRUE())*ISNUMBER(PriceMetrics!$F$2:$F$151)*(PriceMetrics!$F$2:$F$151&lt;PriceMetrics!F32))/MAX(1,SUMPRODUCT(($B$2:$B$151=TRUE())*ISNUMBER(PriceMetrics!$F$2:$F$151)))))),IF(NOT(ISNUMBER(PriceMetrics!G32)),50,100*(1-(SUMPRODUCT(($B$2:$B$151=TRUE())*ISNUMBER(PriceMetrics!$G$2:$G$151)*(ABS(PriceMetrics!$G$2:$G$151)&lt;ABS(PriceMetrics!G32)))/MAX(1,SUMPRODUCT(($B$2:$B$151=TRUE())*ISNUMBER(PriceMetrics!$G$2:$G$151)))))))</f>
        <v>50</v>
      </c>
      <c r="K32" s="5" t="n">
        <f aca="false">AVERAGE(H32:J32)</f>
        <v>50</v>
      </c>
      <c r="L32" s="8" t="n">
        <f aca="false">Macro!$B$26</f>
        <v>53.5</v>
      </c>
      <c r="M32" s="5" t="n">
        <f aca="false">Control!$B$3*100*G32/100+Control!$B$4*K32+Control!$B$5*L32</f>
        <v>50.7</v>
      </c>
      <c r="N32" s="3" t="n">
        <f aca="false">M32+ROW()/1000000</f>
        <v>50.700032</v>
      </c>
      <c r="O32" s="5" t="n">
        <f aca="false">M32-IF(AND(Tickers!D32="SMALLCAP100",Macro!$B$26&lt;40),Control!$B$11,0)</f>
        <v>50.7</v>
      </c>
      <c r="P32" s="3" t="str">
        <f aca="false">IF(B32=FALSE(),"-",IF(O32&gt;=Control!$B$7,"BUY",IF(O32&gt;=Control!$B$8,"ACCUMULATE",IF(O32&gt;=Control!$B$9,"HOLD","AVOID"))))</f>
        <v>HOLD</v>
      </c>
      <c r="Q32" s="3" t="str">
        <f aca="false">IF(B32=FALSE(),"",IF(OR(O32&gt;=72,O32&lt;=32),"High",IF(OR(O32&gt;=62,O32&lt;=42),"Medium","Low")))</f>
        <v>Low</v>
      </c>
      <c r="R32" s="12" t="n">
        <f aca="false">IF(P32="BUY",Control!$B$12,IF(P32="ACCUMULATE",Control!$B$13,0))</f>
        <v>0</v>
      </c>
      <c r="S32" s="3" t="str">
        <f aca="false">IF(B32=FALSE(),"",IF(T32=C32,"Rich valuation",IF(T32=E32,"Weak growth",IF(T32=F32,"Balance-sheet leverage",IF(T32=I32,"Negative momentum","High volatility/drawdown")))))</f>
        <v>Rich valuation</v>
      </c>
      <c r="T32" s="3" t="n">
        <f aca="false">MIN(C32,E32,F32,I32,J32)</f>
        <v>50</v>
      </c>
      <c r="U32" s="3" t="n">
        <f aca="false">IF(B32=TRUE(),N32,-1000+ROW()/1000000)</f>
        <v>50.700032</v>
      </c>
    </row>
    <row r="33" customFormat="false" ht="15" hidden="false" customHeight="false" outlineLevel="0" collapsed="false">
      <c r="A33" s="7" t="str">
        <f aca="false">Tickers!A33</f>
        <v>MCX</v>
      </c>
      <c r="B33" s="19" t="b">
        <f aca="false">Tickers!F33</f>
        <v>1</v>
      </c>
      <c r="C33" s="5" t="n">
        <f aca="false">AVERAGE(IF(NOT(ISNUMBER(Fundamentals!C33)),50,IF(Fundamentals!C33&lt;=0,15,100*(1-(SUMPRODUCT(($B$2:$B$151=TRUE())*ISNUMBER(Fundamentals!$C$2:$C$151)*(Fundamentals!$C$2:$C$151&gt;0)*(Fundamentals!$C$2:$C$151&lt;Fundamentals!C33))/MAX(1,SUMPRODUCT(($B$2:$B$151=TRUE())*ISNUMBER(Fundamentals!$C$2:$C$151)*(Fundamentals!$C$2:$C$151&gt;0))))))),IF(NOT(ISNUMBER(Fundamentals!E33)),50,IF(Fundamentals!E33&lt;=0,15,100*(1-(SUMPRODUCT(($B$2:$B$151=TRUE())*ISNUMBER(Fundamentals!$E$2:$E$151)*(Fundamentals!$E$2:$E$151&gt;0)*(Fundamentals!$E$2:$E$151&lt;Fundamentals!E33))/MAX(1,SUMPRODUCT(($B$2:$B$151=TRUE())*ISNUMBER(Fundamentals!$E$2:$E$151)*(Fundamentals!$E$2:$E$151&gt;0))))))))</f>
        <v>50</v>
      </c>
      <c r="D33" s="5" t="n">
        <f aca="false">AVERAGE(IF(NOT(ISNUMBER(Fundamentals!F33)),50,100*(SUMPRODUCT(($B$2:$B$151=TRUE())*ISNUMBER(Fundamentals!$F$2:$F$151)*(Fundamentals!$F$2:$F$151&lt;Fundamentals!F33))/MAX(1,SUMPRODUCT(($B$2:$B$151=TRUE())*ISNUMBER(Fundamentals!$F$2:$F$151))))),IF(NOT(ISNUMBER(Fundamentals!J33)),50,100*(SUMPRODUCT(($B$2:$B$151=TRUE())*ISNUMBER(Fundamentals!$J$2:$J$151)*(Fundamentals!$J$2:$J$151&lt;Fundamentals!J33))/MAX(1,SUMPRODUCT(($B$2:$B$151=TRUE())*ISNUMBER(Fundamentals!$J$2:$J$151))))))</f>
        <v>50</v>
      </c>
      <c r="E33" s="5" t="n">
        <f aca="false">AVERAGE(IF(NOT(ISNUMBER(Fundamentals!H33)),50,100*(SUMPRODUCT(($B$2:$B$151=TRUE())*ISNUMBER(Fundamentals!$H$2:$H$151)*(Fundamentals!$H$2:$H$151&lt;Fundamentals!H33))/MAX(1,SUMPRODUCT(($B$2:$B$151=TRUE())*ISNUMBER(Fundamentals!$H$2:$H$151))))),IF(NOT(ISNUMBER(Fundamentals!I33)),50,100*(SUMPRODUCT(($B$2:$B$151=TRUE())*ISNUMBER(Fundamentals!$I$2:$I$151)*(Fundamentals!$I$2:$I$151&lt;Fundamentals!I33))/MAX(1,SUMPRODUCT(($B$2:$B$151=TRUE())*ISNUMBER(Fundamentals!$I$2:$I$151))))))</f>
        <v>50</v>
      </c>
      <c r="F33" s="5" t="n">
        <f aca="false">IF(Tickers!C33="Financial Services",50,IF(NOT(ISNUMBER(Fundamentals!G33)),50,100*(1-(SUMPRODUCT(($B$2:$B$151=TRUE())*ISNUMBER(Fundamentals!$G$2:$G$151)*(Fundamentals!$G$2:$G$151&lt;Fundamentals!G33))/MAX(1,SUMPRODUCT(($B$2:$B$151=TRUE())*ISNUMBER(Fundamentals!$G$2:$G$151)))))))</f>
        <v>50</v>
      </c>
      <c r="G33" s="5" t="n">
        <f aca="false">AVERAGE(C33:F33)</f>
        <v>50</v>
      </c>
      <c r="H33" s="5" t="n">
        <f aca="false">MIN(100,MAX(0,IF(NOT(ISNUMBER(PriceMetrics!K33)),50,100*(SUMPRODUCT(($B$2:$B$151=TRUE())*ISNUMBER(PriceMetrics!$K$2:$K$151)*(PriceMetrics!$K$2:$K$151&lt;PriceMetrics!K33))/MAX(1,SUMPRODUCT(($B$2:$B$151=TRUE())*ISNUMBER(PriceMetrics!$K$2:$K$151)))))+IF(ISNUMBER(PriceMetrics!L33),10*PriceMetrics!L33,0)))</f>
        <v>50</v>
      </c>
      <c r="I33" s="5" t="n">
        <f aca="false">0.6*IF(NOT(ISNUMBER(PriceMetrics!P33)),50,100*(SUMPRODUCT(($B$2:$B$151=TRUE())*ISNUMBER(PriceMetrics!$P$2:$P$151)*(PriceMetrics!$P$2:$P$151&lt;PriceMetrics!P33))/MAX(1,SUMPRODUCT(($B$2:$B$151=TRUE())*ISNUMBER(PriceMetrics!$P$2:$P$151)))))+0.4*IF(NOT(ISNUMBER(PriceMetrics!H33)),50,IF(PriceMetrics!H33&gt;70,40,IF(PriceMetrics!H33&gt;=50,100,IF(PriceMetrics!H33&gt;=35,60,30))))</f>
        <v>50</v>
      </c>
      <c r="J33" s="5" t="n">
        <f aca="false">AVERAGE(IF(NOT(ISNUMBER(PriceMetrics!F33)),50,100*(1-(SUMPRODUCT(($B$2:$B$151=TRUE())*ISNUMBER(PriceMetrics!$F$2:$F$151)*(PriceMetrics!$F$2:$F$151&lt;PriceMetrics!F33))/MAX(1,SUMPRODUCT(($B$2:$B$151=TRUE())*ISNUMBER(PriceMetrics!$F$2:$F$151)))))),IF(NOT(ISNUMBER(PriceMetrics!G33)),50,100*(1-(SUMPRODUCT(($B$2:$B$151=TRUE())*ISNUMBER(PriceMetrics!$G$2:$G$151)*(ABS(PriceMetrics!$G$2:$G$151)&lt;ABS(PriceMetrics!G33)))/MAX(1,SUMPRODUCT(($B$2:$B$151=TRUE())*ISNUMBER(PriceMetrics!$G$2:$G$151)))))))</f>
        <v>50</v>
      </c>
      <c r="K33" s="5" t="n">
        <f aca="false">AVERAGE(H33:J33)</f>
        <v>50</v>
      </c>
      <c r="L33" s="8" t="n">
        <f aca="false">Macro!$B$26</f>
        <v>53.5</v>
      </c>
      <c r="M33" s="5" t="n">
        <f aca="false">Control!$B$3*100*G33/100+Control!$B$4*K33+Control!$B$5*L33</f>
        <v>50.7</v>
      </c>
      <c r="N33" s="3" t="n">
        <f aca="false">M33+ROW()/1000000</f>
        <v>50.700033</v>
      </c>
      <c r="O33" s="5" t="n">
        <f aca="false">M33-IF(AND(Tickers!D33="SMALLCAP100",Macro!$B$26&lt;40),Control!$B$11,0)</f>
        <v>50.7</v>
      </c>
      <c r="P33" s="3" t="str">
        <f aca="false">IF(B33=FALSE(),"-",IF(O33&gt;=Control!$B$7,"BUY",IF(O33&gt;=Control!$B$8,"ACCUMULATE",IF(O33&gt;=Control!$B$9,"HOLD","AVOID"))))</f>
        <v>HOLD</v>
      </c>
      <c r="Q33" s="3" t="str">
        <f aca="false">IF(B33=FALSE(),"",IF(OR(O33&gt;=72,O33&lt;=32),"High",IF(OR(O33&gt;=62,O33&lt;=42),"Medium","Low")))</f>
        <v>Low</v>
      </c>
      <c r="R33" s="12" t="n">
        <f aca="false">IF(P33="BUY",Control!$B$12,IF(P33="ACCUMULATE",Control!$B$13,0))</f>
        <v>0</v>
      </c>
      <c r="S33" s="3" t="str">
        <f aca="false">IF(B33=FALSE(),"",IF(T33=C33,"Rich valuation",IF(T33=E33,"Weak growth",IF(T33=F33,"Balance-sheet leverage",IF(T33=I33,"Negative momentum","High volatility/drawdown")))))</f>
        <v>Rich valuation</v>
      </c>
      <c r="T33" s="3" t="n">
        <f aca="false">MIN(C33,E33,F33,I33,J33)</f>
        <v>50</v>
      </c>
      <c r="U33" s="3" t="n">
        <f aca="false">IF(B33=TRUE(),N33,-1000+ROW()/1000000)</f>
        <v>50.700033</v>
      </c>
    </row>
    <row r="34" customFormat="false" ht="15" hidden="false" customHeight="false" outlineLevel="0" collapsed="false">
      <c r="A34" s="7" t="str">
        <f aca="false">Tickers!A34</f>
        <v>NHPC</v>
      </c>
      <c r="B34" s="19" t="b">
        <f aca="false">Tickers!F34</f>
        <v>1</v>
      </c>
      <c r="C34" s="5" t="n">
        <f aca="false">AVERAGE(IF(NOT(ISNUMBER(Fundamentals!C34)),50,IF(Fundamentals!C34&lt;=0,15,100*(1-(SUMPRODUCT(($B$2:$B$151=TRUE())*ISNUMBER(Fundamentals!$C$2:$C$151)*(Fundamentals!$C$2:$C$151&gt;0)*(Fundamentals!$C$2:$C$151&lt;Fundamentals!C34))/MAX(1,SUMPRODUCT(($B$2:$B$151=TRUE())*ISNUMBER(Fundamentals!$C$2:$C$151)*(Fundamentals!$C$2:$C$151&gt;0))))))),IF(NOT(ISNUMBER(Fundamentals!E34)),50,IF(Fundamentals!E34&lt;=0,15,100*(1-(SUMPRODUCT(($B$2:$B$151=TRUE())*ISNUMBER(Fundamentals!$E$2:$E$151)*(Fundamentals!$E$2:$E$151&gt;0)*(Fundamentals!$E$2:$E$151&lt;Fundamentals!E34))/MAX(1,SUMPRODUCT(($B$2:$B$151=TRUE())*ISNUMBER(Fundamentals!$E$2:$E$151)*(Fundamentals!$E$2:$E$151&gt;0))))))))</f>
        <v>50</v>
      </c>
      <c r="D34" s="5" t="n">
        <f aca="false">AVERAGE(IF(NOT(ISNUMBER(Fundamentals!F34)),50,100*(SUMPRODUCT(($B$2:$B$151=TRUE())*ISNUMBER(Fundamentals!$F$2:$F$151)*(Fundamentals!$F$2:$F$151&lt;Fundamentals!F34))/MAX(1,SUMPRODUCT(($B$2:$B$151=TRUE())*ISNUMBER(Fundamentals!$F$2:$F$151))))),IF(NOT(ISNUMBER(Fundamentals!J34)),50,100*(SUMPRODUCT(($B$2:$B$151=TRUE())*ISNUMBER(Fundamentals!$J$2:$J$151)*(Fundamentals!$J$2:$J$151&lt;Fundamentals!J34))/MAX(1,SUMPRODUCT(($B$2:$B$151=TRUE())*ISNUMBER(Fundamentals!$J$2:$J$151))))))</f>
        <v>50</v>
      </c>
      <c r="E34" s="5" t="n">
        <f aca="false">AVERAGE(IF(NOT(ISNUMBER(Fundamentals!H34)),50,100*(SUMPRODUCT(($B$2:$B$151=TRUE())*ISNUMBER(Fundamentals!$H$2:$H$151)*(Fundamentals!$H$2:$H$151&lt;Fundamentals!H34))/MAX(1,SUMPRODUCT(($B$2:$B$151=TRUE())*ISNUMBER(Fundamentals!$H$2:$H$151))))),IF(NOT(ISNUMBER(Fundamentals!I34)),50,100*(SUMPRODUCT(($B$2:$B$151=TRUE())*ISNUMBER(Fundamentals!$I$2:$I$151)*(Fundamentals!$I$2:$I$151&lt;Fundamentals!I34))/MAX(1,SUMPRODUCT(($B$2:$B$151=TRUE())*ISNUMBER(Fundamentals!$I$2:$I$151))))))</f>
        <v>50</v>
      </c>
      <c r="F34" s="5" t="n">
        <f aca="false">IF(Tickers!C34="Financial Services",50,IF(NOT(ISNUMBER(Fundamentals!G34)),50,100*(1-(SUMPRODUCT(($B$2:$B$151=TRUE())*ISNUMBER(Fundamentals!$G$2:$G$151)*(Fundamentals!$G$2:$G$151&lt;Fundamentals!G34))/MAX(1,SUMPRODUCT(($B$2:$B$151=TRUE())*ISNUMBER(Fundamentals!$G$2:$G$151)))))))</f>
        <v>50</v>
      </c>
      <c r="G34" s="5" t="n">
        <f aca="false">AVERAGE(C34:F34)</f>
        <v>50</v>
      </c>
      <c r="H34" s="5" t="n">
        <f aca="false">MIN(100,MAX(0,IF(NOT(ISNUMBER(PriceMetrics!K34)),50,100*(SUMPRODUCT(($B$2:$B$151=TRUE())*ISNUMBER(PriceMetrics!$K$2:$K$151)*(PriceMetrics!$K$2:$K$151&lt;PriceMetrics!K34))/MAX(1,SUMPRODUCT(($B$2:$B$151=TRUE())*ISNUMBER(PriceMetrics!$K$2:$K$151)))))+IF(ISNUMBER(PriceMetrics!L34),10*PriceMetrics!L34,0)))</f>
        <v>50</v>
      </c>
      <c r="I34" s="5" t="n">
        <f aca="false">0.6*IF(NOT(ISNUMBER(PriceMetrics!P34)),50,100*(SUMPRODUCT(($B$2:$B$151=TRUE())*ISNUMBER(PriceMetrics!$P$2:$P$151)*(PriceMetrics!$P$2:$P$151&lt;PriceMetrics!P34))/MAX(1,SUMPRODUCT(($B$2:$B$151=TRUE())*ISNUMBER(PriceMetrics!$P$2:$P$151)))))+0.4*IF(NOT(ISNUMBER(PriceMetrics!H34)),50,IF(PriceMetrics!H34&gt;70,40,IF(PriceMetrics!H34&gt;=50,100,IF(PriceMetrics!H34&gt;=35,60,30))))</f>
        <v>50</v>
      </c>
      <c r="J34" s="5" t="n">
        <f aca="false">AVERAGE(IF(NOT(ISNUMBER(PriceMetrics!F34)),50,100*(1-(SUMPRODUCT(($B$2:$B$151=TRUE())*ISNUMBER(PriceMetrics!$F$2:$F$151)*(PriceMetrics!$F$2:$F$151&lt;PriceMetrics!F34))/MAX(1,SUMPRODUCT(($B$2:$B$151=TRUE())*ISNUMBER(PriceMetrics!$F$2:$F$151)))))),IF(NOT(ISNUMBER(PriceMetrics!G34)),50,100*(1-(SUMPRODUCT(($B$2:$B$151=TRUE())*ISNUMBER(PriceMetrics!$G$2:$G$151)*(ABS(PriceMetrics!$G$2:$G$151)&lt;ABS(PriceMetrics!G34)))/MAX(1,SUMPRODUCT(($B$2:$B$151=TRUE())*ISNUMBER(PriceMetrics!$G$2:$G$151)))))))</f>
        <v>50</v>
      </c>
      <c r="K34" s="5" t="n">
        <f aca="false">AVERAGE(H34:J34)</f>
        <v>50</v>
      </c>
      <c r="L34" s="8" t="n">
        <f aca="false">Macro!$B$26</f>
        <v>53.5</v>
      </c>
      <c r="M34" s="5" t="n">
        <f aca="false">Control!$B$3*100*G34/100+Control!$B$4*K34+Control!$B$5*L34</f>
        <v>50.7</v>
      </c>
      <c r="N34" s="3" t="n">
        <f aca="false">M34+ROW()/1000000</f>
        <v>50.700034</v>
      </c>
      <c r="O34" s="5" t="n">
        <f aca="false">M34-IF(AND(Tickers!D34="SMALLCAP100",Macro!$B$26&lt;40),Control!$B$11,0)</f>
        <v>50.7</v>
      </c>
      <c r="P34" s="3" t="str">
        <f aca="false">IF(B34=FALSE(),"-",IF(O34&gt;=Control!$B$7,"BUY",IF(O34&gt;=Control!$B$8,"ACCUMULATE",IF(O34&gt;=Control!$B$9,"HOLD","AVOID"))))</f>
        <v>HOLD</v>
      </c>
      <c r="Q34" s="3" t="str">
        <f aca="false">IF(B34=FALSE(),"",IF(OR(O34&gt;=72,O34&lt;=32),"High",IF(OR(O34&gt;=62,O34&lt;=42),"Medium","Low")))</f>
        <v>Low</v>
      </c>
      <c r="R34" s="12" t="n">
        <f aca="false">IF(P34="BUY",Control!$B$12,IF(P34="ACCUMULATE",Control!$B$13,0))</f>
        <v>0</v>
      </c>
      <c r="S34" s="3" t="str">
        <f aca="false">IF(B34=FALSE(),"",IF(T34=C34,"Rich valuation",IF(T34=E34,"Weak growth",IF(T34=F34,"Balance-sheet leverage",IF(T34=I34,"Negative momentum","High volatility/drawdown")))))</f>
        <v>Rich valuation</v>
      </c>
      <c r="T34" s="3" t="n">
        <f aca="false">MIN(C34,E34,F34,I34,J34)</f>
        <v>50</v>
      </c>
      <c r="U34" s="3" t="n">
        <f aca="false">IF(B34=TRUE(),N34,-1000+ROW()/1000000)</f>
        <v>50.700034</v>
      </c>
    </row>
    <row r="35" customFormat="false" ht="15" hidden="false" customHeight="false" outlineLevel="0" collapsed="false">
      <c r="A35" s="7" t="str">
        <f aca="false">Tickers!A35</f>
        <v>NMDC</v>
      </c>
      <c r="B35" s="19" t="b">
        <f aca="false">Tickers!F35</f>
        <v>1</v>
      </c>
      <c r="C35" s="5" t="n">
        <f aca="false">AVERAGE(IF(NOT(ISNUMBER(Fundamentals!C35)),50,IF(Fundamentals!C35&lt;=0,15,100*(1-(SUMPRODUCT(($B$2:$B$151=TRUE())*ISNUMBER(Fundamentals!$C$2:$C$151)*(Fundamentals!$C$2:$C$151&gt;0)*(Fundamentals!$C$2:$C$151&lt;Fundamentals!C35))/MAX(1,SUMPRODUCT(($B$2:$B$151=TRUE())*ISNUMBER(Fundamentals!$C$2:$C$151)*(Fundamentals!$C$2:$C$151&gt;0))))))),IF(NOT(ISNUMBER(Fundamentals!E35)),50,IF(Fundamentals!E35&lt;=0,15,100*(1-(SUMPRODUCT(($B$2:$B$151=TRUE())*ISNUMBER(Fundamentals!$E$2:$E$151)*(Fundamentals!$E$2:$E$151&gt;0)*(Fundamentals!$E$2:$E$151&lt;Fundamentals!E35))/MAX(1,SUMPRODUCT(($B$2:$B$151=TRUE())*ISNUMBER(Fundamentals!$E$2:$E$151)*(Fundamentals!$E$2:$E$151&gt;0))))))))</f>
        <v>50</v>
      </c>
      <c r="D35" s="5" t="n">
        <f aca="false">AVERAGE(IF(NOT(ISNUMBER(Fundamentals!F35)),50,100*(SUMPRODUCT(($B$2:$B$151=TRUE())*ISNUMBER(Fundamentals!$F$2:$F$151)*(Fundamentals!$F$2:$F$151&lt;Fundamentals!F35))/MAX(1,SUMPRODUCT(($B$2:$B$151=TRUE())*ISNUMBER(Fundamentals!$F$2:$F$151))))),IF(NOT(ISNUMBER(Fundamentals!J35)),50,100*(SUMPRODUCT(($B$2:$B$151=TRUE())*ISNUMBER(Fundamentals!$J$2:$J$151)*(Fundamentals!$J$2:$J$151&lt;Fundamentals!J35))/MAX(1,SUMPRODUCT(($B$2:$B$151=TRUE())*ISNUMBER(Fundamentals!$J$2:$J$151))))))</f>
        <v>50</v>
      </c>
      <c r="E35" s="5" t="n">
        <f aca="false">AVERAGE(IF(NOT(ISNUMBER(Fundamentals!H35)),50,100*(SUMPRODUCT(($B$2:$B$151=TRUE())*ISNUMBER(Fundamentals!$H$2:$H$151)*(Fundamentals!$H$2:$H$151&lt;Fundamentals!H35))/MAX(1,SUMPRODUCT(($B$2:$B$151=TRUE())*ISNUMBER(Fundamentals!$H$2:$H$151))))),IF(NOT(ISNUMBER(Fundamentals!I35)),50,100*(SUMPRODUCT(($B$2:$B$151=TRUE())*ISNUMBER(Fundamentals!$I$2:$I$151)*(Fundamentals!$I$2:$I$151&lt;Fundamentals!I35))/MAX(1,SUMPRODUCT(($B$2:$B$151=TRUE())*ISNUMBER(Fundamentals!$I$2:$I$151))))))</f>
        <v>50</v>
      </c>
      <c r="F35" s="5" t="n">
        <f aca="false">IF(Tickers!C35="Financial Services",50,IF(NOT(ISNUMBER(Fundamentals!G35)),50,100*(1-(SUMPRODUCT(($B$2:$B$151=TRUE())*ISNUMBER(Fundamentals!$G$2:$G$151)*(Fundamentals!$G$2:$G$151&lt;Fundamentals!G35))/MAX(1,SUMPRODUCT(($B$2:$B$151=TRUE())*ISNUMBER(Fundamentals!$G$2:$G$151)))))))</f>
        <v>50</v>
      </c>
      <c r="G35" s="5" t="n">
        <f aca="false">AVERAGE(C35:F35)</f>
        <v>50</v>
      </c>
      <c r="H35" s="5" t="n">
        <f aca="false">MIN(100,MAX(0,IF(NOT(ISNUMBER(PriceMetrics!K35)),50,100*(SUMPRODUCT(($B$2:$B$151=TRUE())*ISNUMBER(PriceMetrics!$K$2:$K$151)*(PriceMetrics!$K$2:$K$151&lt;PriceMetrics!K35))/MAX(1,SUMPRODUCT(($B$2:$B$151=TRUE())*ISNUMBER(PriceMetrics!$K$2:$K$151)))))+IF(ISNUMBER(PriceMetrics!L35),10*PriceMetrics!L35,0)))</f>
        <v>50</v>
      </c>
      <c r="I35" s="5" t="n">
        <f aca="false">0.6*IF(NOT(ISNUMBER(PriceMetrics!P35)),50,100*(SUMPRODUCT(($B$2:$B$151=TRUE())*ISNUMBER(PriceMetrics!$P$2:$P$151)*(PriceMetrics!$P$2:$P$151&lt;PriceMetrics!P35))/MAX(1,SUMPRODUCT(($B$2:$B$151=TRUE())*ISNUMBER(PriceMetrics!$P$2:$P$151)))))+0.4*IF(NOT(ISNUMBER(PriceMetrics!H35)),50,IF(PriceMetrics!H35&gt;70,40,IF(PriceMetrics!H35&gt;=50,100,IF(PriceMetrics!H35&gt;=35,60,30))))</f>
        <v>50</v>
      </c>
      <c r="J35" s="5" t="n">
        <f aca="false">AVERAGE(IF(NOT(ISNUMBER(PriceMetrics!F35)),50,100*(1-(SUMPRODUCT(($B$2:$B$151=TRUE())*ISNUMBER(PriceMetrics!$F$2:$F$151)*(PriceMetrics!$F$2:$F$151&lt;PriceMetrics!F35))/MAX(1,SUMPRODUCT(($B$2:$B$151=TRUE())*ISNUMBER(PriceMetrics!$F$2:$F$151)))))),IF(NOT(ISNUMBER(PriceMetrics!G35)),50,100*(1-(SUMPRODUCT(($B$2:$B$151=TRUE())*ISNUMBER(PriceMetrics!$G$2:$G$151)*(ABS(PriceMetrics!$G$2:$G$151)&lt;ABS(PriceMetrics!G35)))/MAX(1,SUMPRODUCT(($B$2:$B$151=TRUE())*ISNUMBER(PriceMetrics!$G$2:$G$151)))))))</f>
        <v>50</v>
      </c>
      <c r="K35" s="5" t="n">
        <f aca="false">AVERAGE(H35:J35)</f>
        <v>50</v>
      </c>
      <c r="L35" s="8" t="n">
        <f aca="false">Macro!$B$26</f>
        <v>53.5</v>
      </c>
      <c r="M35" s="5" t="n">
        <f aca="false">Control!$B$3*100*G35/100+Control!$B$4*K35+Control!$B$5*L35</f>
        <v>50.7</v>
      </c>
      <c r="N35" s="3" t="n">
        <f aca="false">M35+ROW()/1000000</f>
        <v>50.700035</v>
      </c>
      <c r="O35" s="5" t="n">
        <f aca="false">M35-IF(AND(Tickers!D35="SMALLCAP100",Macro!$B$26&lt;40),Control!$B$11,0)</f>
        <v>50.7</v>
      </c>
      <c r="P35" s="3" t="str">
        <f aca="false">IF(B35=FALSE(),"-",IF(O35&gt;=Control!$B$7,"BUY",IF(O35&gt;=Control!$B$8,"ACCUMULATE",IF(O35&gt;=Control!$B$9,"HOLD","AVOID"))))</f>
        <v>HOLD</v>
      </c>
      <c r="Q35" s="3" t="str">
        <f aca="false">IF(B35=FALSE(),"",IF(OR(O35&gt;=72,O35&lt;=32),"High",IF(OR(O35&gt;=62,O35&lt;=42),"Medium","Low")))</f>
        <v>Low</v>
      </c>
      <c r="R35" s="12" t="n">
        <f aca="false">IF(P35="BUY",Control!$B$12,IF(P35="ACCUMULATE",Control!$B$13,0))</f>
        <v>0</v>
      </c>
      <c r="S35" s="3" t="str">
        <f aca="false">IF(B35=FALSE(),"",IF(T35=C35,"Rich valuation",IF(T35=E35,"Weak growth",IF(T35=F35,"Balance-sheet leverage",IF(T35=I35,"Negative momentum","High volatility/drawdown")))))</f>
        <v>Rich valuation</v>
      </c>
      <c r="T35" s="3" t="n">
        <f aca="false">MIN(C35,E35,F35,I35,J35)</f>
        <v>50</v>
      </c>
      <c r="U35" s="3" t="n">
        <f aca="false">IF(B35=TRUE(),N35,-1000+ROW()/1000000)</f>
        <v>50.700035</v>
      </c>
    </row>
    <row r="36" customFormat="false" ht="15" hidden="false" customHeight="false" outlineLevel="0" collapsed="false">
      <c r="A36" s="7" t="str">
        <f aca="false">Tickers!A36</f>
        <v>OIL</v>
      </c>
      <c r="B36" s="19" t="b">
        <f aca="false">Tickers!F36</f>
        <v>1</v>
      </c>
      <c r="C36" s="5" t="n">
        <f aca="false">AVERAGE(IF(NOT(ISNUMBER(Fundamentals!C36)),50,IF(Fundamentals!C36&lt;=0,15,100*(1-(SUMPRODUCT(($B$2:$B$151=TRUE())*ISNUMBER(Fundamentals!$C$2:$C$151)*(Fundamentals!$C$2:$C$151&gt;0)*(Fundamentals!$C$2:$C$151&lt;Fundamentals!C36))/MAX(1,SUMPRODUCT(($B$2:$B$151=TRUE())*ISNUMBER(Fundamentals!$C$2:$C$151)*(Fundamentals!$C$2:$C$151&gt;0))))))),IF(NOT(ISNUMBER(Fundamentals!E36)),50,IF(Fundamentals!E36&lt;=0,15,100*(1-(SUMPRODUCT(($B$2:$B$151=TRUE())*ISNUMBER(Fundamentals!$E$2:$E$151)*(Fundamentals!$E$2:$E$151&gt;0)*(Fundamentals!$E$2:$E$151&lt;Fundamentals!E36))/MAX(1,SUMPRODUCT(($B$2:$B$151=TRUE())*ISNUMBER(Fundamentals!$E$2:$E$151)*(Fundamentals!$E$2:$E$151&gt;0))))))))</f>
        <v>50</v>
      </c>
      <c r="D36" s="5" t="n">
        <f aca="false">AVERAGE(IF(NOT(ISNUMBER(Fundamentals!F36)),50,100*(SUMPRODUCT(($B$2:$B$151=TRUE())*ISNUMBER(Fundamentals!$F$2:$F$151)*(Fundamentals!$F$2:$F$151&lt;Fundamentals!F36))/MAX(1,SUMPRODUCT(($B$2:$B$151=TRUE())*ISNUMBER(Fundamentals!$F$2:$F$151))))),IF(NOT(ISNUMBER(Fundamentals!J36)),50,100*(SUMPRODUCT(($B$2:$B$151=TRUE())*ISNUMBER(Fundamentals!$J$2:$J$151)*(Fundamentals!$J$2:$J$151&lt;Fundamentals!J36))/MAX(1,SUMPRODUCT(($B$2:$B$151=TRUE())*ISNUMBER(Fundamentals!$J$2:$J$151))))))</f>
        <v>50</v>
      </c>
      <c r="E36" s="5" t="n">
        <f aca="false">AVERAGE(IF(NOT(ISNUMBER(Fundamentals!H36)),50,100*(SUMPRODUCT(($B$2:$B$151=TRUE())*ISNUMBER(Fundamentals!$H$2:$H$151)*(Fundamentals!$H$2:$H$151&lt;Fundamentals!H36))/MAX(1,SUMPRODUCT(($B$2:$B$151=TRUE())*ISNUMBER(Fundamentals!$H$2:$H$151))))),IF(NOT(ISNUMBER(Fundamentals!I36)),50,100*(SUMPRODUCT(($B$2:$B$151=TRUE())*ISNUMBER(Fundamentals!$I$2:$I$151)*(Fundamentals!$I$2:$I$151&lt;Fundamentals!I36))/MAX(1,SUMPRODUCT(($B$2:$B$151=TRUE())*ISNUMBER(Fundamentals!$I$2:$I$151))))))</f>
        <v>50</v>
      </c>
      <c r="F36" s="5" t="n">
        <f aca="false">IF(Tickers!C36="Financial Services",50,IF(NOT(ISNUMBER(Fundamentals!G36)),50,100*(1-(SUMPRODUCT(($B$2:$B$151=TRUE())*ISNUMBER(Fundamentals!$G$2:$G$151)*(Fundamentals!$G$2:$G$151&lt;Fundamentals!G36))/MAX(1,SUMPRODUCT(($B$2:$B$151=TRUE())*ISNUMBER(Fundamentals!$G$2:$G$151)))))))</f>
        <v>50</v>
      </c>
      <c r="G36" s="5" t="n">
        <f aca="false">AVERAGE(C36:F36)</f>
        <v>50</v>
      </c>
      <c r="H36" s="5" t="n">
        <f aca="false">MIN(100,MAX(0,IF(NOT(ISNUMBER(PriceMetrics!K36)),50,100*(SUMPRODUCT(($B$2:$B$151=TRUE())*ISNUMBER(PriceMetrics!$K$2:$K$151)*(PriceMetrics!$K$2:$K$151&lt;PriceMetrics!K36))/MAX(1,SUMPRODUCT(($B$2:$B$151=TRUE())*ISNUMBER(PriceMetrics!$K$2:$K$151)))))+IF(ISNUMBER(PriceMetrics!L36),10*PriceMetrics!L36,0)))</f>
        <v>50</v>
      </c>
      <c r="I36" s="5" t="n">
        <f aca="false">0.6*IF(NOT(ISNUMBER(PriceMetrics!P36)),50,100*(SUMPRODUCT(($B$2:$B$151=TRUE())*ISNUMBER(PriceMetrics!$P$2:$P$151)*(PriceMetrics!$P$2:$P$151&lt;PriceMetrics!P36))/MAX(1,SUMPRODUCT(($B$2:$B$151=TRUE())*ISNUMBER(PriceMetrics!$P$2:$P$151)))))+0.4*IF(NOT(ISNUMBER(PriceMetrics!H36)),50,IF(PriceMetrics!H36&gt;70,40,IF(PriceMetrics!H36&gt;=50,100,IF(PriceMetrics!H36&gt;=35,60,30))))</f>
        <v>50</v>
      </c>
      <c r="J36" s="5" t="n">
        <f aca="false">AVERAGE(IF(NOT(ISNUMBER(PriceMetrics!F36)),50,100*(1-(SUMPRODUCT(($B$2:$B$151=TRUE())*ISNUMBER(PriceMetrics!$F$2:$F$151)*(PriceMetrics!$F$2:$F$151&lt;PriceMetrics!F36))/MAX(1,SUMPRODUCT(($B$2:$B$151=TRUE())*ISNUMBER(PriceMetrics!$F$2:$F$151)))))),IF(NOT(ISNUMBER(PriceMetrics!G36)),50,100*(1-(SUMPRODUCT(($B$2:$B$151=TRUE())*ISNUMBER(PriceMetrics!$G$2:$G$151)*(ABS(PriceMetrics!$G$2:$G$151)&lt;ABS(PriceMetrics!G36)))/MAX(1,SUMPRODUCT(($B$2:$B$151=TRUE())*ISNUMBER(PriceMetrics!$G$2:$G$151)))))))</f>
        <v>50</v>
      </c>
      <c r="K36" s="5" t="n">
        <f aca="false">AVERAGE(H36:J36)</f>
        <v>50</v>
      </c>
      <c r="L36" s="8" t="n">
        <f aca="false">Macro!$B$26</f>
        <v>53.5</v>
      </c>
      <c r="M36" s="5" t="n">
        <f aca="false">Control!$B$3*100*G36/100+Control!$B$4*K36+Control!$B$5*L36</f>
        <v>50.7</v>
      </c>
      <c r="N36" s="3" t="n">
        <f aca="false">M36+ROW()/1000000</f>
        <v>50.700036</v>
      </c>
      <c r="O36" s="5" t="n">
        <f aca="false">M36-IF(AND(Tickers!D36="SMALLCAP100",Macro!$B$26&lt;40),Control!$B$11,0)</f>
        <v>50.7</v>
      </c>
      <c r="P36" s="3" t="str">
        <f aca="false">IF(B36=FALSE(),"-",IF(O36&gt;=Control!$B$7,"BUY",IF(O36&gt;=Control!$B$8,"ACCUMULATE",IF(O36&gt;=Control!$B$9,"HOLD","AVOID"))))</f>
        <v>HOLD</v>
      </c>
      <c r="Q36" s="3" t="str">
        <f aca="false">IF(B36=FALSE(),"",IF(OR(O36&gt;=72,O36&lt;=32),"High",IF(OR(O36&gt;=62,O36&lt;=42),"Medium","Low")))</f>
        <v>Low</v>
      </c>
      <c r="R36" s="12" t="n">
        <f aca="false">IF(P36="BUY",Control!$B$12,IF(P36="ACCUMULATE",Control!$B$13,0))</f>
        <v>0</v>
      </c>
      <c r="S36" s="3" t="str">
        <f aca="false">IF(B36=FALSE(),"",IF(T36=C36,"Rich valuation",IF(T36=E36,"Weak growth",IF(T36=F36,"Balance-sheet leverage",IF(T36=I36,"Negative momentum","High volatility/drawdown")))))</f>
        <v>Rich valuation</v>
      </c>
      <c r="T36" s="3" t="n">
        <f aca="false">MIN(C36,E36,F36,I36,J36)</f>
        <v>50</v>
      </c>
      <c r="U36" s="3" t="n">
        <f aca="false">IF(B36=TRUE(),N36,-1000+ROW()/1000000)</f>
        <v>50.700036</v>
      </c>
    </row>
    <row r="37" customFormat="false" ht="15" hidden="false" customHeight="false" outlineLevel="0" collapsed="false">
      <c r="A37" s="7" t="str">
        <f aca="false">Tickers!A37</f>
        <v>PAYTM</v>
      </c>
      <c r="B37" s="19" t="b">
        <f aca="false">Tickers!F37</f>
        <v>1</v>
      </c>
      <c r="C37" s="5" t="n">
        <f aca="false">AVERAGE(IF(NOT(ISNUMBER(Fundamentals!C37)),50,IF(Fundamentals!C37&lt;=0,15,100*(1-(SUMPRODUCT(($B$2:$B$151=TRUE())*ISNUMBER(Fundamentals!$C$2:$C$151)*(Fundamentals!$C$2:$C$151&gt;0)*(Fundamentals!$C$2:$C$151&lt;Fundamentals!C37))/MAX(1,SUMPRODUCT(($B$2:$B$151=TRUE())*ISNUMBER(Fundamentals!$C$2:$C$151)*(Fundamentals!$C$2:$C$151&gt;0))))))),IF(NOT(ISNUMBER(Fundamentals!E37)),50,IF(Fundamentals!E37&lt;=0,15,100*(1-(SUMPRODUCT(($B$2:$B$151=TRUE())*ISNUMBER(Fundamentals!$E$2:$E$151)*(Fundamentals!$E$2:$E$151&gt;0)*(Fundamentals!$E$2:$E$151&lt;Fundamentals!E37))/MAX(1,SUMPRODUCT(($B$2:$B$151=TRUE())*ISNUMBER(Fundamentals!$E$2:$E$151)*(Fundamentals!$E$2:$E$151&gt;0))))))))</f>
        <v>50</v>
      </c>
      <c r="D37" s="5" t="n">
        <f aca="false">AVERAGE(IF(NOT(ISNUMBER(Fundamentals!F37)),50,100*(SUMPRODUCT(($B$2:$B$151=TRUE())*ISNUMBER(Fundamentals!$F$2:$F$151)*(Fundamentals!$F$2:$F$151&lt;Fundamentals!F37))/MAX(1,SUMPRODUCT(($B$2:$B$151=TRUE())*ISNUMBER(Fundamentals!$F$2:$F$151))))),IF(NOT(ISNUMBER(Fundamentals!J37)),50,100*(SUMPRODUCT(($B$2:$B$151=TRUE())*ISNUMBER(Fundamentals!$J$2:$J$151)*(Fundamentals!$J$2:$J$151&lt;Fundamentals!J37))/MAX(1,SUMPRODUCT(($B$2:$B$151=TRUE())*ISNUMBER(Fundamentals!$J$2:$J$151))))))</f>
        <v>50</v>
      </c>
      <c r="E37" s="5" t="n">
        <f aca="false">AVERAGE(IF(NOT(ISNUMBER(Fundamentals!H37)),50,100*(SUMPRODUCT(($B$2:$B$151=TRUE())*ISNUMBER(Fundamentals!$H$2:$H$151)*(Fundamentals!$H$2:$H$151&lt;Fundamentals!H37))/MAX(1,SUMPRODUCT(($B$2:$B$151=TRUE())*ISNUMBER(Fundamentals!$H$2:$H$151))))),IF(NOT(ISNUMBER(Fundamentals!I37)),50,100*(SUMPRODUCT(($B$2:$B$151=TRUE())*ISNUMBER(Fundamentals!$I$2:$I$151)*(Fundamentals!$I$2:$I$151&lt;Fundamentals!I37))/MAX(1,SUMPRODUCT(($B$2:$B$151=TRUE())*ISNUMBER(Fundamentals!$I$2:$I$151))))))</f>
        <v>50</v>
      </c>
      <c r="F37" s="5" t="n">
        <f aca="false">IF(Tickers!C37="Financial Services",50,IF(NOT(ISNUMBER(Fundamentals!G37)),50,100*(1-(SUMPRODUCT(($B$2:$B$151=TRUE())*ISNUMBER(Fundamentals!$G$2:$G$151)*(Fundamentals!$G$2:$G$151&lt;Fundamentals!G37))/MAX(1,SUMPRODUCT(($B$2:$B$151=TRUE())*ISNUMBER(Fundamentals!$G$2:$G$151)))))))</f>
        <v>50</v>
      </c>
      <c r="G37" s="5" t="n">
        <f aca="false">AVERAGE(C37:F37)</f>
        <v>50</v>
      </c>
      <c r="H37" s="5" t="n">
        <f aca="false">MIN(100,MAX(0,IF(NOT(ISNUMBER(PriceMetrics!K37)),50,100*(SUMPRODUCT(($B$2:$B$151=TRUE())*ISNUMBER(PriceMetrics!$K$2:$K$151)*(PriceMetrics!$K$2:$K$151&lt;PriceMetrics!K37))/MAX(1,SUMPRODUCT(($B$2:$B$151=TRUE())*ISNUMBER(PriceMetrics!$K$2:$K$151)))))+IF(ISNUMBER(PriceMetrics!L37),10*PriceMetrics!L37,0)))</f>
        <v>50</v>
      </c>
      <c r="I37" s="5" t="n">
        <f aca="false">0.6*IF(NOT(ISNUMBER(PriceMetrics!P37)),50,100*(SUMPRODUCT(($B$2:$B$151=TRUE())*ISNUMBER(PriceMetrics!$P$2:$P$151)*(PriceMetrics!$P$2:$P$151&lt;PriceMetrics!P37))/MAX(1,SUMPRODUCT(($B$2:$B$151=TRUE())*ISNUMBER(PriceMetrics!$P$2:$P$151)))))+0.4*IF(NOT(ISNUMBER(PriceMetrics!H37)),50,IF(PriceMetrics!H37&gt;70,40,IF(PriceMetrics!H37&gt;=50,100,IF(PriceMetrics!H37&gt;=35,60,30))))</f>
        <v>50</v>
      </c>
      <c r="J37" s="5" t="n">
        <f aca="false">AVERAGE(IF(NOT(ISNUMBER(PriceMetrics!F37)),50,100*(1-(SUMPRODUCT(($B$2:$B$151=TRUE())*ISNUMBER(PriceMetrics!$F$2:$F$151)*(PriceMetrics!$F$2:$F$151&lt;PriceMetrics!F37))/MAX(1,SUMPRODUCT(($B$2:$B$151=TRUE())*ISNUMBER(PriceMetrics!$F$2:$F$151)))))),IF(NOT(ISNUMBER(PriceMetrics!G37)),50,100*(1-(SUMPRODUCT(($B$2:$B$151=TRUE())*ISNUMBER(PriceMetrics!$G$2:$G$151)*(ABS(PriceMetrics!$G$2:$G$151)&lt;ABS(PriceMetrics!G37)))/MAX(1,SUMPRODUCT(($B$2:$B$151=TRUE())*ISNUMBER(PriceMetrics!$G$2:$G$151)))))))</f>
        <v>50</v>
      </c>
      <c r="K37" s="5" t="n">
        <f aca="false">AVERAGE(H37:J37)</f>
        <v>50</v>
      </c>
      <c r="L37" s="8" t="n">
        <f aca="false">Macro!$B$26</f>
        <v>53.5</v>
      </c>
      <c r="M37" s="5" t="n">
        <f aca="false">Control!$B$3*100*G37/100+Control!$B$4*K37+Control!$B$5*L37</f>
        <v>50.7</v>
      </c>
      <c r="N37" s="3" t="n">
        <f aca="false">M37+ROW()/1000000</f>
        <v>50.700037</v>
      </c>
      <c r="O37" s="5" t="n">
        <f aca="false">M37-IF(AND(Tickers!D37="SMALLCAP100",Macro!$B$26&lt;40),Control!$B$11,0)</f>
        <v>50.7</v>
      </c>
      <c r="P37" s="3" t="str">
        <f aca="false">IF(B37=FALSE(),"-",IF(O37&gt;=Control!$B$7,"BUY",IF(O37&gt;=Control!$B$8,"ACCUMULATE",IF(O37&gt;=Control!$B$9,"HOLD","AVOID"))))</f>
        <v>HOLD</v>
      </c>
      <c r="Q37" s="3" t="str">
        <f aca="false">IF(B37=FALSE(),"",IF(OR(O37&gt;=72,O37&lt;=32),"High",IF(OR(O37&gt;=62,O37&lt;=42),"Medium","Low")))</f>
        <v>Low</v>
      </c>
      <c r="R37" s="12" t="n">
        <f aca="false">IF(P37="BUY",Control!$B$12,IF(P37="ACCUMULATE",Control!$B$13,0))</f>
        <v>0</v>
      </c>
      <c r="S37" s="3" t="str">
        <f aca="false">IF(B37=FALSE(),"",IF(T37=C37,"Rich valuation",IF(T37=E37,"Weak growth",IF(T37=F37,"Balance-sheet leverage",IF(T37=I37,"Negative momentum","High volatility/drawdown")))))</f>
        <v>Rich valuation</v>
      </c>
      <c r="T37" s="3" t="n">
        <f aca="false">MIN(C37,E37,F37,I37,J37)</f>
        <v>50</v>
      </c>
      <c r="U37" s="3" t="n">
        <f aca="false">IF(B37=TRUE(),N37,-1000+ROW()/1000000)</f>
        <v>50.700037</v>
      </c>
    </row>
    <row r="38" customFormat="false" ht="15" hidden="false" customHeight="false" outlineLevel="0" collapsed="false">
      <c r="A38" s="7" t="str">
        <f aca="false">Tickers!A38</f>
        <v>POLICYBZR</v>
      </c>
      <c r="B38" s="19" t="b">
        <f aca="false">Tickers!F38</f>
        <v>1</v>
      </c>
      <c r="C38" s="5" t="n">
        <f aca="false">AVERAGE(IF(NOT(ISNUMBER(Fundamentals!C38)),50,IF(Fundamentals!C38&lt;=0,15,100*(1-(SUMPRODUCT(($B$2:$B$151=TRUE())*ISNUMBER(Fundamentals!$C$2:$C$151)*(Fundamentals!$C$2:$C$151&gt;0)*(Fundamentals!$C$2:$C$151&lt;Fundamentals!C38))/MAX(1,SUMPRODUCT(($B$2:$B$151=TRUE())*ISNUMBER(Fundamentals!$C$2:$C$151)*(Fundamentals!$C$2:$C$151&gt;0))))))),IF(NOT(ISNUMBER(Fundamentals!E38)),50,IF(Fundamentals!E38&lt;=0,15,100*(1-(SUMPRODUCT(($B$2:$B$151=TRUE())*ISNUMBER(Fundamentals!$E$2:$E$151)*(Fundamentals!$E$2:$E$151&gt;0)*(Fundamentals!$E$2:$E$151&lt;Fundamentals!E38))/MAX(1,SUMPRODUCT(($B$2:$B$151=TRUE())*ISNUMBER(Fundamentals!$E$2:$E$151)*(Fundamentals!$E$2:$E$151&gt;0))))))))</f>
        <v>50</v>
      </c>
      <c r="D38" s="5" t="n">
        <f aca="false">AVERAGE(IF(NOT(ISNUMBER(Fundamentals!F38)),50,100*(SUMPRODUCT(($B$2:$B$151=TRUE())*ISNUMBER(Fundamentals!$F$2:$F$151)*(Fundamentals!$F$2:$F$151&lt;Fundamentals!F38))/MAX(1,SUMPRODUCT(($B$2:$B$151=TRUE())*ISNUMBER(Fundamentals!$F$2:$F$151))))),IF(NOT(ISNUMBER(Fundamentals!J38)),50,100*(SUMPRODUCT(($B$2:$B$151=TRUE())*ISNUMBER(Fundamentals!$J$2:$J$151)*(Fundamentals!$J$2:$J$151&lt;Fundamentals!J38))/MAX(1,SUMPRODUCT(($B$2:$B$151=TRUE())*ISNUMBER(Fundamentals!$J$2:$J$151))))))</f>
        <v>50</v>
      </c>
      <c r="E38" s="5" t="n">
        <f aca="false">AVERAGE(IF(NOT(ISNUMBER(Fundamentals!H38)),50,100*(SUMPRODUCT(($B$2:$B$151=TRUE())*ISNUMBER(Fundamentals!$H$2:$H$151)*(Fundamentals!$H$2:$H$151&lt;Fundamentals!H38))/MAX(1,SUMPRODUCT(($B$2:$B$151=TRUE())*ISNUMBER(Fundamentals!$H$2:$H$151))))),IF(NOT(ISNUMBER(Fundamentals!I38)),50,100*(SUMPRODUCT(($B$2:$B$151=TRUE())*ISNUMBER(Fundamentals!$I$2:$I$151)*(Fundamentals!$I$2:$I$151&lt;Fundamentals!I38))/MAX(1,SUMPRODUCT(($B$2:$B$151=TRUE())*ISNUMBER(Fundamentals!$I$2:$I$151))))))</f>
        <v>50</v>
      </c>
      <c r="F38" s="5" t="n">
        <f aca="false">IF(Tickers!C38="Financial Services",50,IF(NOT(ISNUMBER(Fundamentals!G38)),50,100*(1-(SUMPRODUCT(($B$2:$B$151=TRUE())*ISNUMBER(Fundamentals!$G$2:$G$151)*(Fundamentals!$G$2:$G$151&lt;Fundamentals!G38))/MAX(1,SUMPRODUCT(($B$2:$B$151=TRUE())*ISNUMBER(Fundamentals!$G$2:$G$151)))))))</f>
        <v>50</v>
      </c>
      <c r="G38" s="5" t="n">
        <f aca="false">AVERAGE(C38:F38)</f>
        <v>50</v>
      </c>
      <c r="H38" s="5" t="n">
        <f aca="false">MIN(100,MAX(0,IF(NOT(ISNUMBER(PriceMetrics!K38)),50,100*(SUMPRODUCT(($B$2:$B$151=TRUE())*ISNUMBER(PriceMetrics!$K$2:$K$151)*(PriceMetrics!$K$2:$K$151&lt;PriceMetrics!K38))/MAX(1,SUMPRODUCT(($B$2:$B$151=TRUE())*ISNUMBER(PriceMetrics!$K$2:$K$151)))))+IF(ISNUMBER(PriceMetrics!L38),10*PriceMetrics!L38,0)))</f>
        <v>50</v>
      </c>
      <c r="I38" s="5" t="n">
        <f aca="false">0.6*IF(NOT(ISNUMBER(PriceMetrics!P38)),50,100*(SUMPRODUCT(($B$2:$B$151=TRUE())*ISNUMBER(PriceMetrics!$P$2:$P$151)*(PriceMetrics!$P$2:$P$151&lt;PriceMetrics!P38))/MAX(1,SUMPRODUCT(($B$2:$B$151=TRUE())*ISNUMBER(PriceMetrics!$P$2:$P$151)))))+0.4*IF(NOT(ISNUMBER(PriceMetrics!H38)),50,IF(PriceMetrics!H38&gt;70,40,IF(PriceMetrics!H38&gt;=50,100,IF(PriceMetrics!H38&gt;=35,60,30))))</f>
        <v>50</v>
      </c>
      <c r="J38" s="5" t="n">
        <f aca="false">AVERAGE(IF(NOT(ISNUMBER(PriceMetrics!F38)),50,100*(1-(SUMPRODUCT(($B$2:$B$151=TRUE())*ISNUMBER(PriceMetrics!$F$2:$F$151)*(PriceMetrics!$F$2:$F$151&lt;PriceMetrics!F38))/MAX(1,SUMPRODUCT(($B$2:$B$151=TRUE())*ISNUMBER(PriceMetrics!$F$2:$F$151)))))),IF(NOT(ISNUMBER(PriceMetrics!G38)),50,100*(1-(SUMPRODUCT(($B$2:$B$151=TRUE())*ISNUMBER(PriceMetrics!$G$2:$G$151)*(ABS(PriceMetrics!$G$2:$G$151)&lt;ABS(PriceMetrics!G38)))/MAX(1,SUMPRODUCT(($B$2:$B$151=TRUE())*ISNUMBER(PriceMetrics!$G$2:$G$151)))))))</f>
        <v>50</v>
      </c>
      <c r="K38" s="5" t="n">
        <f aca="false">AVERAGE(H38:J38)</f>
        <v>50</v>
      </c>
      <c r="L38" s="8" t="n">
        <f aca="false">Macro!$B$26</f>
        <v>53.5</v>
      </c>
      <c r="M38" s="5" t="n">
        <f aca="false">Control!$B$3*100*G38/100+Control!$B$4*K38+Control!$B$5*L38</f>
        <v>50.7</v>
      </c>
      <c r="N38" s="3" t="n">
        <f aca="false">M38+ROW()/1000000</f>
        <v>50.700038</v>
      </c>
      <c r="O38" s="5" t="n">
        <f aca="false">M38-IF(AND(Tickers!D38="SMALLCAP100",Macro!$B$26&lt;40),Control!$B$11,0)</f>
        <v>50.7</v>
      </c>
      <c r="P38" s="3" t="str">
        <f aca="false">IF(B38=FALSE(),"-",IF(O38&gt;=Control!$B$7,"BUY",IF(O38&gt;=Control!$B$8,"ACCUMULATE",IF(O38&gt;=Control!$B$9,"HOLD","AVOID"))))</f>
        <v>HOLD</v>
      </c>
      <c r="Q38" s="3" t="str">
        <f aca="false">IF(B38=FALSE(),"",IF(OR(O38&gt;=72,O38&lt;=32),"High",IF(OR(O38&gt;=62,O38&lt;=42),"Medium","Low")))</f>
        <v>Low</v>
      </c>
      <c r="R38" s="12" t="n">
        <f aca="false">IF(P38="BUY",Control!$B$12,IF(P38="ACCUMULATE",Control!$B$13,0))</f>
        <v>0</v>
      </c>
      <c r="S38" s="3" t="str">
        <f aca="false">IF(B38=FALSE(),"",IF(T38=C38,"Rich valuation",IF(T38=E38,"Weak growth",IF(T38=F38,"Balance-sheet leverage",IF(T38=I38,"Negative momentum","High volatility/drawdown")))))</f>
        <v>Rich valuation</v>
      </c>
      <c r="T38" s="3" t="n">
        <f aca="false">MIN(C38,E38,F38,I38,J38)</f>
        <v>50</v>
      </c>
      <c r="U38" s="3" t="n">
        <f aca="false">IF(B38=TRUE(),N38,-1000+ROW()/1000000)</f>
        <v>50.700038</v>
      </c>
    </row>
    <row r="39" customFormat="false" ht="15" hidden="false" customHeight="false" outlineLevel="0" collapsed="false">
      <c r="A39" s="7" t="str">
        <f aca="false">Tickers!A39</f>
        <v>PERSISTENT</v>
      </c>
      <c r="B39" s="19" t="b">
        <f aca="false">Tickers!F39</f>
        <v>1</v>
      </c>
      <c r="C39" s="5" t="n">
        <f aca="false">AVERAGE(IF(NOT(ISNUMBER(Fundamentals!C39)),50,IF(Fundamentals!C39&lt;=0,15,100*(1-(SUMPRODUCT(($B$2:$B$151=TRUE())*ISNUMBER(Fundamentals!$C$2:$C$151)*(Fundamentals!$C$2:$C$151&gt;0)*(Fundamentals!$C$2:$C$151&lt;Fundamentals!C39))/MAX(1,SUMPRODUCT(($B$2:$B$151=TRUE())*ISNUMBER(Fundamentals!$C$2:$C$151)*(Fundamentals!$C$2:$C$151&gt;0))))))),IF(NOT(ISNUMBER(Fundamentals!E39)),50,IF(Fundamentals!E39&lt;=0,15,100*(1-(SUMPRODUCT(($B$2:$B$151=TRUE())*ISNUMBER(Fundamentals!$E$2:$E$151)*(Fundamentals!$E$2:$E$151&gt;0)*(Fundamentals!$E$2:$E$151&lt;Fundamentals!E39))/MAX(1,SUMPRODUCT(($B$2:$B$151=TRUE())*ISNUMBER(Fundamentals!$E$2:$E$151)*(Fundamentals!$E$2:$E$151&gt;0))))))))</f>
        <v>50</v>
      </c>
      <c r="D39" s="5" t="n">
        <f aca="false">AVERAGE(IF(NOT(ISNUMBER(Fundamentals!F39)),50,100*(SUMPRODUCT(($B$2:$B$151=TRUE())*ISNUMBER(Fundamentals!$F$2:$F$151)*(Fundamentals!$F$2:$F$151&lt;Fundamentals!F39))/MAX(1,SUMPRODUCT(($B$2:$B$151=TRUE())*ISNUMBER(Fundamentals!$F$2:$F$151))))),IF(NOT(ISNUMBER(Fundamentals!J39)),50,100*(SUMPRODUCT(($B$2:$B$151=TRUE())*ISNUMBER(Fundamentals!$J$2:$J$151)*(Fundamentals!$J$2:$J$151&lt;Fundamentals!J39))/MAX(1,SUMPRODUCT(($B$2:$B$151=TRUE())*ISNUMBER(Fundamentals!$J$2:$J$151))))))</f>
        <v>50</v>
      </c>
      <c r="E39" s="5" t="n">
        <f aca="false">AVERAGE(IF(NOT(ISNUMBER(Fundamentals!H39)),50,100*(SUMPRODUCT(($B$2:$B$151=TRUE())*ISNUMBER(Fundamentals!$H$2:$H$151)*(Fundamentals!$H$2:$H$151&lt;Fundamentals!H39))/MAX(1,SUMPRODUCT(($B$2:$B$151=TRUE())*ISNUMBER(Fundamentals!$H$2:$H$151))))),IF(NOT(ISNUMBER(Fundamentals!I39)),50,100*(SUMPRODUCT(($B$2:$B$151=TRUE())*ISNUMBER(Fundamentals!$I$2:$I$151)*(Fundamentals!$I$2:$I$151&lt;Fundamentals!I39))/MAX(1,SUMPRODUCT(($B$2:$B$151=TRUE())*ISNUMBER(Fundamentals!$I$2:$I$151))))))</f>
        <v>50</v>
      </c>
      <c r="F39" s="5" t="n">
        <f aca="false">IF(Tickers!C39="Financial Services",50,IF(NOT(ISNUMBER(Fundamentals!G39)),50,100*(1-(SUMPRODUCT(($B$2:$B$151=TRUE())*ISNUMBER(Fundamentals!$G$2:$G$151)*(Fundamentals!$G$2:$G$151&lt;Fundamentals!G39))/MAX(1,SUMPRODUCT(($B$2:$B$151=TRUE())*ISNUMBER(Fundamentals!$G$2:$G$151)))))))</f>
        <v>50</v>
      </c>
      <c r="G39" s="5" t="n">
        <f aca="false">AVERAGE(C39:F39)</f>
        <v>50</v>
      </c>
      <c r="H39" s="5" t="n">
        <f aca="false">MIN(100,MAX(0,IF(NOT(ISNUMBER(PriceMetrics!K39)),50,100*(SUMPRODUCT(($B$2:$B$151=TRUE())*ISNUMBER(PriceMetrics!$K$2:$K$151)*(PriceMetrics!$K$2:$K$151&lt;PriceMetrics!K39))/MAX(1,SUMPRODUCT(($B$2:$B$151=TRUE())*ISNUMBER(PriceMetrics!$K$2:$K$151)))))+IF(ISNUMBER(PriceMetrics!L39),10*PriceMetrics!L39,0)))</f>
        <v>50</v>
      </c>
      <c r="I39" s="5" t="n">
        <f aca="false">0.6*IF(NOT(ISNUMBER(PriceMetrics!P39)),50,100*(SUMPRODUCT(($B$2:$B$151=TRUE())*ISNUMBER(PriceMetrics!$P$2:$P$151)*(PriceMetrics!$P$2:$P$151&lt;PriceMetrics!P39))/MAX(1,SUMPRODUCT(($B$2:$B$151=TRUE())*ISNUMBER(PriceMetrics!$P$2:$P$151)))))+0.4*IF(NOT(ISNUMBER(PriceMetrics!H39)),50,IF(PriceMetrics!H39&gt;70,40,IF(PriceMetrics!H39&gt;=50,100,IF(PriceMetrics!H39&gt;=35,60,30))))</f>
        <v>50</v>
      </c>
      <c r="J39" s="5" t="n">
        <f aca="false">AVERAGE(IF(NOT(ISNUMBER(PriceMetrics!F39)),50,100*(1-(SUMPRODUCT(($B$2:$B$151=TRUE())*ISNUMBER(PriceMetrics!$F$2:$F$151)*(PriceMetrics!$F$2:$F$151&lt;PriceMetrics!F39))/MAX(1,SUMPRODUCT(($B$2:$B$151=TRUE())*ISNUMBER(PriceMetrics!$F$2:$F$151)))))),IF(NOT(ISNUMBER(PriceMetrics!G39)),50,100*(1-(SUMPRODUCT(($B$2:$B$151=TRUE())*ISNUMBER(PriceMetrics!$G$2:$G$151)*(ABS(PriceMetrics!$G$2:$G$151)&lt;ABS(PriceMetrics!G39)))/MAX(1,SUMPRODUCT(($B$2:$B$151=TRUE())*ISNUMBER(PriceMetrics!$G$2:$G$151)))))))</f>
        <v>50</v>
      </c>
      <c r="K39" s="5" t="n">
        <f aca="false">AVERAGE(H39:J39)</f>
        <v>50</v>
      </c>
      <c r="L39" s="8" t="n">
        <f aca="false">Macro!$B$26</f>
        <v>53.5</v>
      </c>
      <c r="M39" s="5" t="n">
        <f aca="false">Control!$B$3*100*G39/100+Control!$B$4*K39+Control!$B$5*L39</f>
        <v>50.7</v>
      </c>
      <c r="N39" s="3" t="n">
        <f aca="false">M39+ROW()/1000000</f>
        <v>50.700039</v>
      </c>
      <c r="O39" s="5" t="n">
        <f aca="false">M39-IF(AND(Tickers!D39="SMALLCAP100",Macro!$B$26&lt;40),Control!$B$11,0)</f>
        <v>50.7</v>
      </c>
      <c r="P39" s="3" t="str">
        <f aca="false">IF(B39=FALSE(),"-",IF(O39&gt;=Control!$B$7,"BUY",IF(O39&gt;=Control!$B$8,"ACCUMULATE",IF(O39&gt;=Control!$B$9,"HOLD","AVOID"))))</f>
        <v>HOLD</v>
      </c>
      <c r="Q39" s="3" t="str">
        <f aca="false">IF(B39=FALSE(),"",IF(OR(O39&gt;=72,O39&lt;=32),"High",IF(OR(O39&gt;=62,O39&lt;=42),"Medium","Low")))</f>
        <v>Low</v>
      </c>
      <c r="R39" s="12" t="n">
        <f aca="false">IF(P39="BUY",Control!$B$12,IF(P39="ACCUMULATE",Control!$B$13,0))</f>
        <v>0</v>
      </c>
      <c r="S39" s="3" t="str">
        <f aca="false">IF(B39=FALSE(),"",IF(T39=C39,"Rich valuation",IF(T39=E39,"Weak growth",IF(T39=F39,"Balance-sheet leverage",IF(T39=I39,"Negative momentum","High volatility/drawdown")))))</f>
        <v>Rich valuation</v>
      </c>
      <c r="T39" s="3" t="n">
        <f aca="false">MIN(C39,E39,F39,I39,J39)</f>
        <v>50</v>
      </c>
      <c r="U39" s="3" t="n">
        <f aca="false">IF(B39=TRUE(),N39,-1000+ROW()/1000000)</f>
        <v>50.700039</v>
      </c>
    </row>
    <row r="40" customFormat="false" ht="15" hidden="false" customHeight="false" outlineLevel="0" collapsed="false">
      <c r="A40" s="7" t="str">
        <f aca="false">Tickers!A40</f>
        <v>PHOENIXLTD</v>
      </c>
      <c r="B40" s="19" t="b">
        <f aca="false">Tickers!F40</f>
        <v>1</v>
      </c>
      <c r="C40" s="5" t="n">
        <f aca="false">AVERAGE(IF(NOT(ISNUMBER(Fundamentals!C40)),50,IF(Fundamentals!C40&lt;=0,15,100*(1-(SUMPRODUCT(($B$2:$B$151=TRUE())*ISNUMBER(Fundamentals!$C$2:$C$151)*(Fundamentals!$C$2:$C$151&gt;0)*(Fundamentals!$C$2:$C$151&lt;Fundamentals!C40))/MAX(1,SUMPRODUCT(($B$2:$B$151=TRUE())*ISNUMBER(Fundamentals!$C$2:$C$151)*(Fundamentals!$C$2:$C$151&gt;0))))))),IF(NOT(ISNUMBER(Fundamentals!E40)),50,IF(Fundamentals!E40&lt;=0,15,100*(1-(SUMPRODUCT(($B$2:$B$151=TRUE())*ISNUMBER(Fundamentals!$E$2:$E$151)*(Fundamentals!$E$2:$E$151&gt;0)*(Fundamentals!$E$2:$E$151&lt;Fundamentals!E40))/MAX(1,SUMPRODUCT(($B$2:$B$151=TRUE())*ISNUMBER(Fundamentals!$E$2:$E$151)*(Fundamentals!$E$2:$E$151&gt;0))))))))</f>
        <v>50</v>
      </c>
      <c r="D40" s="5" t="n">
        <f aca="false">AVERAGE(IF(NOT(ISNUMBER(Fundamentals!F40)),50,100*(SUMPRODUCT(($B$2:$B$151=TRUE())*ISNUMBER(Fundamentals!$F$2:$F$151)*(Fundamentals!$F$2:$F$151&lt;Fundamentals!F40))/MAX(1,SUMPRODUCT(($B$2:$B$151=TRUE())*ISNUMBER(Fundamentals!$F$2:$F$151))))),IF(NOT(ISNUMBER(Fundamentals!J40)),50,100*(SUMPRODUCT(($B$2:$B$151=TRUE())*ISNUMBER(Fundamentals!$J$2:$J$151)*(Fundamentals!$J$2:$J$151&lt;Fundamentals!J40))/MAX(1,SUMPRODUCT(($B$2:$B$151=TRUE())*ISNUMBER(Fundamentals!$J$2:$J$151))))))</f>
        <v>50</v>
      </c>
      <c r="E40" s="5" t="n">
        <f aca="false">AVERAGE(IF(NOT(ISNUMBER(Fundamentals!H40)),50,100*(SUMPRODUCT(($B$2:$B$151=TRUE())*ISNUMBER(Fundamentals!$H$2:$H$151)*(Fundamentals!$H$2:$H$151&lt;Fundamentals!H40))/MAX(1,SUMPRODUCT(($B$2:$B$151=TRUE())*ISNUMBER(Fundamentals!$H$2:$H$151))))),IF(NOT(ISNUMBER(Fundamentals!I40)),50,100*(SUMPRODUCT(($B$2:$B$151=TRUE())*ISNUMBER(Fundamentals!$I$2:$I$151)*(Fundamentals!$I$2:$I$151&lt;Fundamentals!I40))/MAX(1,SUMPRODUCT(($B$2:$B$151=TRUE())*ISNUMBER(Fundamentals!$I$2:$I$151))))))</f>
        <v>50</v>
      </c>
      <c r="F40" s="5" t="n">
        <f aca="false">IF(Tickers!C40="Financial Services",50,IF(NOT(ISNUMBER(Fundamentals!G40)),50,100*(1-(SUMPRODUCT(($B$2:$B$151=TRUE())*ISNUMBER(Fundamentals!$G$2:$G$151)*(Fundamentals!$G$2:$G$151&lt;Fundamentals!G40))/MAX(1,SUMPRODUCT(($B$2:$B$151=TRUE())*ISNUMBER(Fundamentals!$G$2:$G$151)))))))</f>
        <v>50</v>
      </c>
      <c r="G40" s="5" t="n">
        <f aca="false">AVERAGE(C40:F40)</f>
        <v>50</v>
      </c>
      <c r="H40" s="5" t="n">
        <f aca="false">MIN(100,MAX(0,IF(NOT(ISNUMBER(PriceMetrics!K40)),50,100*(SUMPRODUCT(($B$2:$B$151=TRUE())*ISNUMBER(PriceMetrics!$K$2:$K$151)*(PriceMetrics!$K$2:$K$151&lt;PriceMetrics!K40))/MAX(1,SUMPRODUCT(($B$2:$B$151=TRUE())*ISNUMBER(PriceMetrics!$K$2:$K$151)))))+IF(ISNUMBER(PriceMetrics!L40),10*PriceMetrics!L40,0)))</f>
        <v>50</v>
      </c>
      <c r="I40" s="5" t="n">
        <f aca="false">0.6*IF(NOT(ISNUMBER(PriceMetrics!P40)),50,100*(SUMPRODUCT(($B$2:$B$151=TRUE())*ISNUMBER(PriceMetrics!$P$2:$P$151)*(PriceMetrics!$P$2:$P$151&lt;PriceMetrics!P40))/MAX(1,SUMPRODUCT(($B$2:$B$151=TRUE())*ISNUMBER(PriceMetrics!$P$2:$P$151)))))+0.4*IF(NOT(ISNUMBER(PriceMetrics!H40)),50,IF(PriceMetrics!H40&gt;70,40,IF(PriceMetrics!H40&gt;=50,100,IF(PriceMetrics!H40&gt;=35,60,30))))</f>
        <v>50</v>
      </c>
      <c r="J40" s="5" t="n">
        <f aca="false">AVERAGE(IF(NOT(ISNUMBER(PriceMetrics!F40)),50,100*(1-(SUMPRODUCT(($B$2:$B$151=TRUE())*ISNUMBER(PriceMetrics!$F$2:$F$151)*(PriceMetrics!$F$2:$F$151&lt;PriceMetrics!F40))/MAX(1,SUMPRODUCT(($B$2:$B$151=TRUE())*ISNUMBER(PriceMetrics!$F$2:$F$151)))))),IF(NOT(ISNUMBER(PriceMetrics!G40)),50,100*(1-(SUMPRODUCT(($B$2:$B$151=TRUE())*ISNUMBER(PriceMetrics!$G$2:$G$151)*(ABS(PriceMetrics!$G$2:$G$151)&lt;ABS(PriceMetrics!G40)))/MAX(1,SUMPRODUCT(($B$2:$B$151=TRUE())*ISNUMBER(PriceMetrics!$G$2:$G$151)))))))</f>
        <v>50</v>
      </c>
      <c r="K40" s="5" t="n">
        <f aca="false">AVERAGE(H40:J40)</f>
        <v>50</v>
      </c>
      <c r="L40" s="8" t="n">
        <f aca="false">Macro!$B$26</f>
        <v>53.5</v>
      </c>
      <c r="M40" s="5" t="n">
        <f aca="false">Control!$B$3*100*G40/100+Control!$B$4*K40+Control!$B$5*L40</f>
        <v>50.7</v>
      </c>
      <c r="N40" s="3" t="n">
        <f aca="false">M40+ROW()/1000000</f>
        <v>50.70004</v>
      </c>
      <c r="O40" s="5" t="n">
        <f aca="false">M40-IF(AND(Tickers!D40="SMALLCAP100",Macro!$B$26&lt;40),Control!$B$11,0)</f>
        <v>50.7</v>
      </c>
      <c r="P40" s="3" t="str">
        <f aca="false">IF(B40=FALSE(),"-",IF(O40&gt;=Control!$B$7,"BUY",IF(O40&gt;=Control!$B$8,"ACCUMULATE",IF(O40&gt;=Control!$B$9,"HOLD","AVOID"))))</f>
        <v>HOLD</v>
      </c>
      <c r="Q40" s="3" t="str">
        <f aca="false">IF(B40=FALSE(),"",IF(OR(O40&gt;=72,O40&lt;=32),"High",IF(OR(O40&gt;=62,O40&lt;=42),"Medium","Low")))</f>
        <v>Low</v>
      </c>
      <c r="R40" s="12" t="n">
        <f aca="false">IF(P40="BUY",Control!$B$12,IF(P40="ACCUMULATE",Control!$B$13,0))</f>
        <v>0</v>
      </c>
      <c r="S40" s="3" t="str">
        <f aca="false">IF(B40=FALSE(),"",IF(T40=C40,"Rich valuation",IF(T40=E40,"Weak growth",IF(T40=F40,"Balance-sheet leverage",IF(T40=I40,"Negative momentum","High volatility/drawdown")))))</f>
        <v>Rich valuation</v>
      </c>
      <c r="T40" s="3" t="n">
        <f aca="false">MIN(C40,E40,F40,I40,J40)</f>
        <v>50</v>
      </c>
      <c r="U40" s="3" t="n">
        <f aca="false">IF(B40=TRUE(),N40,-1000+ROW()/1000000)</f>
        <v>50.70004</v>
      </c>
    </row>
    <row r="41" customFormat="false" ht="15" hidden="false" customHeight="false" outlineLevel="0" collapsed="false">
      <c r="A41" s="7" t="str">
        <f aca="false">Tickers!A41</f>
        <v>POLYCAB</v>
      </c>
      <c r="B41" s="19" t="b">
        <f aca="false">Tickers!F41</f>
        <v>1</v>
      </c>
      <c r="C41" s="5" t="n">
        <f aca="false">AVERAGE(IF(NOT(ISNUMBER(Fundamentals!C41)),50,IF(Fundamentals!C41&lt;=0,15,100*(1-(SUMPRODUCT(($B$2:$B$151=TRUE())*ISNUMBER(Fundamentals!$C$2:$C$151)*(Fundamentals!$C$2:$C$151&gt;0)*(Fundamentals!$C$2:$C$151&lt;Fundamentals!C41))/MAX(1,SUMPRODUCT(($B$2:$B$151=TRUE())*ISNUMBER(Fundamentals!$C$2:$C$151)*(Fundamentals!$C$2:$C$151&gt;0))))))),IF(NOT(ISNUMBER(Fundamentals!E41)),50,IF(Fundamentals!E41&lt;=0,15,100*(1-(SUMPRODUCT(($B$2:$B$151=TRUE())*ISNUMBER(Fundamentals!$E$2:$E$151)*(Fundamentals!$E$2:$E$151&gt;0)*(Fundamentals!$E$2:$E$151&lt;Fundamentals!E41))/MAX(1,SUMPRODUCT(($B$2:$B$151=TRUE())*ISNUMBER(Fundamentals!$E$2:$E$151)*(Fundamentals!$E$2:$E$151&gt;0))))))))</f>
        <v>50</v>
      </c>
      <c r="D41" s="5" t="n">
        <f aca="false">AVERAGE(IF(NOT(ISNUMBER(Fundamentals!F41)),50,100*(SUMPRODUCT(($B$2:$B$151=TRUE())*ISNUMBER(Fundamentals!$F$2:$F$151)*(Fundamentals!$F$2:$F$151&lt;Fundamentals!F41))/MAX(1,SUMPRODUCT(($B$2:$B$151=TRUE())*ISNUMBER(Fundamentals!$F$2:$F$151))))),IF(NOT(ISNUMBER(Fundamentals!J41)),50,100*(SUMPRODUCT(($B$2:$B$151=TRUE())*ISNUMBER(Fundamentals!$J$2:$J$151)*(Fundamentals!$J$2:$J$151&lt;Fundamentals!J41))/MAX(1,SUMPRODUCT(($B$2:$B$151=TRUE())*ISNUMBER(Fundamentals!$J$2:$J$151))))))</f>
        <v>50</v>
      </c>
      <c r="E41" s="5" t="n">
        <f aca="false">AVERAGE(IF(NOT(ISNUMBER(Fundamentals!H41)),50,100*(SUMPRODUCT(($B$2:$B$151=TRUE())*ISNUMBER(Fundamentals!$H$2:$H$151)*(Fundamentals!$H$2:$H$151&lt;Fundamentals!H41))/MAX(1,SUMPRODUCT(($B$2:$B$151=TRUE())*ISNUMBER(Fundamentals!$H$2:$H$151))))),IF(NOT(ISNUMBER(Fundamentals!I41)),50,100*(SUMPRODUCT(($B$2:$B$151=TRUE())*ISNUMBER(Fundamentals!$I$2:$I$151)*(Fundamentals!$I$2:$I$151&lt;Fundamentals!I41))/MAX(1,SUMPRODUCT(($B$2:$B$151=TRUE())*ISNUMBER(Fundamentals!$I$2:$I$151))))))</f>
        <v>50</v>
      </c>
      <c r="F41" s="5" t="n">
        <f aca="false">IF(Tickers!C41="Financial Services",50,IF(NOT(ISNUMBER(Fundamentals!G41)),50,100*(1-(SUMPRODUCT(($B$2:$B$151=TRUE())*ISNUMBER(Fundamentals!$G$2:$G$151)*(Fundamentals!$G$2:$G$151&lt;Fundamentals!G41))/MAX(1,SUMPRODUCT(($B$2:$B$151=TRUE())*ISNUMBER(Fundamentals!$G$2:$G$151)))))))</f>
        <v>50</v>
      </c>
      <c r="G41" s="5" t="n">
        <f aca="false">AVERAGE(C41:F41)</f>
        <v>50</v>
      </c>
      <c r="H41" s="5" t="n">
        <f aca="false">MIN(100,MAX(0,IF(NOT(ISNUMBER(PriceMetrics!K41)),50,100*(SUMPRODUCT(($B$2:$B$151=TRUE())*ISNUMBER(PriceMetrics!$K$2:$K$151)*(PriceMetrics!$K$2:$K$151&lt;PriceMetrics!K41))/MAX(1,SUMPRODUCT(($B$2:$B$151=TRUE())*ISNUMBER(PriceMetrics!$K$2:$K$151)))))+IF(ISNUMBER(PriceMetrics!L41),10*PriceMetrics!L41,0)))</f>
        <v>50</v>
      </c>
      <c r="I41" s="5" t="n">
        <f aca="false">0.6*IF(NOT(ISNUMBER(PriceMetrics!P41)),50,100*(SUMPRODUCT(($B$2:$B$151=TRUE())*ISNUMBER(PriceMetrics!$P$2:$P$151)*(PriceMetrics!$P$2:$P$151&lt;PriceMetrics!P41))/MAX(1,SUMPRODUCT(($B$2:$B$151=TRUE())*ISNUMBER(PriceMetrics!$P$2:$P$151)))))+0.4*IF(NOT(ISNUMBER(PriceMetrics!H41)),50,IF(PriceMetrics!H41&gt;70,40,IF(PriceMetrics!H41&gt;=50,100,IF(PriceMetrics!H41&gt;=35,60,30))))</f>
        <v>50</v>
      </c>
      <c r="J41" s="5" t="n">
        <f aca="false">AVERAGE(IF(NOT(ISNUMBER(PriceMetrics!F41)),50,100*(1-(SUMPRODUCT(($B$2:$B$151=TRUE())*ISNUMBER(PriceMetrics!$F$2:$F$151)*(PriceMetrics!$F$2:$F$151&lt;PriceMetrics!F41))/MAX(1,SUMPRODUCT(($B$2:$B$151=TRUE())*ISNUMBER(PriceMetrics!$F$2:$F$151)))))),IF(NOT(ISNUMBER(PriceMetrics!G41)),50,100*(1-(SUMPRODUCT(($B$2:$B$151=TRUE())*ISNUMBER(PriceMetrics!$G$2:$G$151)*(ABS(PriceMetrics!$G$2:$G$151)&lt;ABS(PriceMetrics!G41)))/MAX(1,SUMPRODUCT(($B$2:$B$151=TRUE())*ISNUMBER(PriceMetrics!$G$2:$G$151)))))))</f>
        <v>50</v>
      </c>
      <c r="K41" s="5" t="n">
        <f aca="false">AVERAGE(H41:J41)</f>
        <v>50</v>
      </c>
      <c r="L41" s="8" t="n">
        <f aca="false">Macro!$B$26</f>
        <v>53.5</v>
      </c>
      <c r="M41" s="5" t="n">
        <f aca="false">Control!$B$3*100*G41/100+Control!$B$4*K41+Control!$B$5*L41</f>
        <v>50.7</v>
      </c>
      <c r="N41" s="3" t="n">
        <f aca="false">M41+ROW()/1000000</f>
        <v>50.700041</v>
      </c>
      <c r="O41" s="5" t="n">
        <f aca="false">M41-IF(AND(Tickers!D41="SMALLCAP100",Macro!$B$26&lt;40),Control!$B$11,0)</f>
        <v>50.7</v>
      </c>
      <c r="P41" s="3" t="str">
        <f aca="false">IF(B41=FALSE(),"-",IF(O41&gt;=Control!$B$7,"BUY",IF(O41&gt;=Control!$B$8,"ACCUMULATE",IF(O41&gt;=Control!$B$9,"HOLD","AVOID"))))</f>
        <v>HOLD</v>
      </c>
      <c r="Q41" s="3" t="str">
        <f aca="false">IF(B41=FALSE(),"",IF(OR(O41&gt;=72,O41&lt;=32),"High",IF(OR(O41&gt;=62,O41&lt;=42),"Medium","Low")))</f>
        <v>Low</v>
      </c>
      <c r="R41" s="12" t="n">
        <f aca="false">IF(P41="BUY",Control!$B$12,IF(P41="ACCUMULATE",Control!$B$13,0))</f>
        <v>0</v>
      </c>
      <c r="S41" s="3" t="str">
        <f aca="false">IF(B41=FALSE(),"",IF(T41=C41,"Rich valuation",IF(T41=E41,"Weak growth",IF(T41=F41,"Balance-sheet leverage",IF(T41=I41,"Negative momentum","High volatility/drawdown")))))</f>
        <v>Rich valuation</v>
      </c>
      <c r="T41" s="3" t="n">
        <f aca="false">MIN(C41,E41,F41,I41,J41)</f>
        <v>50</v>
      </c>
      <c r="U41" s="3" t="n">
        <f aca="false">IF(B41=TRUE(),N41,-1000+ROW()/1000000)</f>
        <v>50.700041</v>
      </c>
    </row>
    <row r="42" customFormat="false" ht="15" hidden="false" customHeight="false" outlineLevel="0" collapsed="false">
      <c r="A42" s="7" t="str">
        <f aca="false">Tickers!A42</f>
        <v>PRESTIGE</v>
      </c>
      <c r="B42" s="19" t="b">
        <f aca="false">Tickers!F42</f>
        <v>1</v>
      </c>
      <c r="C42" s="5" t="n">
        <f aca="false">AVERAGE(IF(NOT(ISNUMBER(Fundamentals!C42)),50,IF(Fundamentals!C42&lt;=0,15,100*(1-(SUMPRODUCT(($B$2:$B$151=TRUE())*ISNUMBER(Fundamentals!$C$2:$C$151)*(Fundamentals!$C$2:$C$151&gt;0)*(Fundamentals!$C$2:$C$151&lt;Fundamentals!C42))/MAX(1,SUMPRODUCT(($B$2:$B$151=TRUE())*ISNUMBER(Fundamentals!$C$2:$C$151)*(Fundamentals!$C$2:$C$151&gt;0))))))),IF(NOT(ISNUMBER(Fundamentals!E42)),50,IF(Fundamentals!E42&lt;=0,15,100*(1-(SUMPRODUCT(($B$2:$B$151=TRUE())*ISNUMBER(Fundamentals!$E$2:$E$151)*(Fundamentals!$E$2:$E$151&gt;0)*(Fundamentals!$E$2:$E$151&lt;Fundamentals!E42))/MAX(1,SUMPRODUCT(($B$2:$B$151=TRUE())*ISNUMBER(Fundamentals!$E$2:$E$151)*(Fundamentals!$E$2:$E$151&gt;0))))))))</f>
        <v>50</v>
      </c>
      <c r="D42" s="5" t="n">
        <f aca="false">AVERAGE(IF(NOT(ISNUMBER(Fundamentals!F42)),50,100*(SUMPRODUCT(($B$2:$B$151=TRUE())*ISNUMBER(Fundamentals!$F$2:$F$151)*(Fundamentals!$F$2:$F$151&lt;Fundamentals!F42))/MAX(1,SUMPRODUCT(($B$2:$B$151=TRUE())*ISNUMBER(Fundamentals!$F$2:$F$151))))),IF(NOT(ISNUMBER(Fundamentals!J42)),50,100*(SUMPRODUCT(($B$2:$B$151=TRUE())*ISNUMBER(Fundamentals!$J$2:$J$151)*(Fundamentals!$J$2:$J$151&lt;Fundamentals!J42))/MAX(1,SUMPRODUCT(($B$2:$B$151=TRUE())*ISNUMBER(Fundamentals!$J$2:$J$151))))))</f>
        <v>50</v>
      </c>
      <c r="E42" s="5" t="n">
        <f aca="false">AVERAGE(IF(NOT(ISNUMBER(Fundamentals!H42)),50,100*(SUMPRODUCT(($B$2:$B$151=TRUE())*ISNUMBER(Fundamentals!$H$2:$H$151)*(Fundamentals!$H$2:$H$151&lt;Fundamentals!H42))/MAX(1,SUMPRODUCT(($B$2:$B$151=TRUE())*ISNUMBER(Fundamentals!$H$2:$H$151))))),IF(NOT(ISNUMBER(Fundamentals!I42)),50,100*(SUMPRODUCT(($B$2:$B$151=TRUE())*ISNUMBER(Fundamentals!$I$2:$I$151)*(Fundamentals!$I$2:$I$151&lt;Fundamentals!I42))/MAX(1,SUMPRODUCT(($B$2:$B$151=TRUE())*ISNUMBER(Fundamentals!$I$2:$I$151))))))</f>
        <v>50</v>
      </c>
      <c r="F42" s="5" t="n">
        <f aca="false">IF(Tickers!C42="Financial Services",50,IF(NOT(ISNUMBER(Fundamentals!G42)),50,100*(1-(SUMPRODUCT(($B$2:$B$151=TRUE())*ISNUMBER(Fundamentals!$G$2:$G$151)*(Fundamentals!$G$2:$G$151&lt;Fundamentals!G42))/MAX(1,SUMPRODUCT(($B$2:$B$151=TRUE())*ISNUMBER(Fundamentals!$G$2:$G$151)))))))</f>
        <v>50</v>
      </c>
      <c r="G42" s="5" t="n">
        <f aca="false">AVERAGE(C42:F42)</f>
        <v>50</v>
      </c>
      <c r="H42" s="5" t="n">
        <f aca="false">MIN(100,MAX(0,IF(NOT(ISNUMBER(PriceMetrics!K42)),50,100*(SUMPRODUCT(($B$2:$B$151=TRUE())*ISNUMBER(PriceMetrics!$K$2:$K$151)*(PriceMetrics!$K$2:$K$151&lt;PriceMetrics!K42))/MAX(1,SUMPRODUCT(($B$2:$B$151=TRUE())*ISNUMBER(PriceMetrics!$K$2:$K$151)))))+IF(ISNUMBER(PriceMetrics!L42),10*PriceMetrics!L42,0)))</f>
        <v>50</v>
      </c>
      <c r="I42" s="5" t="n">
        <f aca="false">0.6*IF(NOT(ISNUMBER(PriceMetrics!P42)),50,100*(SUMPRODUCT(($B$2:$B$151=TRUE())*ISNUMBER(PriceMetrics!$P$2:$P$151)*(PriceMetrics!$P$2:$P$151&lt;PriceMetrics!P42))/MAX(1,SUMPRODUCT(($B$2:$B$151=TRUE())*ISNUMBER(PriceMetrics!$P$2:$P$151)))))+0.4*IF(NOT(ISNUMBER(PriceMetrics!H42)),50,IF(PriceMetrics!H42&gt;70,40,IF(PriceMetrics!H42&gt;=50,100,IF(PriceMetrics!H42&gt;=35,60,30))))</f>
        <v>50</v>
      </c>
      <c r="J42" s="5" t="n">
        <f aca="false">AVERAGE(IF(NOT(ISNUMBER(PriceMetrics!F42)),50,100*(1-(SUMPRODUCT(($B$2:$B$151=TRUE())*ISNUMBER(PriceMetrics!$F$2:$F$151)*(PriceMetrics!$F$2:$F$151&lt;PriceMetrics!F42))/MAX(1,SUMPRODUCT(($B$2:$B$151=TRUE())*ISNUMBER(PriceMetrics!$F$2:$F$151)))))),IF(NOT(ISNUMBER(PriceMetrics!G42)),50,100*(1-(SUMPRODUCT(($B$2:$B$151=TRUE())*ISNUMBER(PriceMetrics!$G$2:$G$151)*(ABS(PriceMetrics!$G$2:$G$151)&lt;ABS(PriceMetrics!G42)))/MAX(1,SUMPRODUCT(($B$2:$B$151=TRUE())*ISNUMBER(PriceMetrics!$G$2:$G$151)))))))</f>
        <v>50</v>
      </c>
      <c r="K42" s="5" t="n">
        <f aca="false">AVERAGE(H42:J42)</f>
        <v>50</v>
      </c>
      <c r="L42" s="8" t="n">
        <f aca="false">Macro!$B$26</f>
        <v>53.5</v>
      </c>
      <c r="M42" s="5" t="n">
        <f aca="false">Control!$B$3*100*G42/100+Control!$B$4*K42+Control!$B$5*L42</f>
        <v>50.7</v>
      </c>
      <c r="N42" s="3" t="n">
        <f aca="false">M42+ROW()/1000000</f>
        <v>50.700042</v>
      </c>
      <c r="O42" s="5" t="n">
        <f aca="false">M42-IF(AND(Tickers!D42="SMALLCAP100",Macro!$B$26&lt;40),Control!$B$11,0)</f>
        <v>50.7</v>
      </c>
      <c r="P42" s="3" t="str">
        <f aca="false">IF(B42=FALSE(),"-",IF(O42&gt;=Control!$B$7,"BUY",IF(O42&gt;=Control!$B$8,"ACCUMULATE",IF(O42&gt;=Control!$B$9,"HOLD","AVOID"))))</f>
        <v>HOLD</v>
      </c>
      <c r="Q42" s="3" t="str">
        <f aca="false">IF(B42=FALSE(),"",IF(OR(O42&gt;=72,O42&lt;=32),"High",IF(OR(O42&gt;=62,O42&lt;=42),"Medium","Low")))</f>
        <v>Low</v>
      </c>
      <c r="R42" s="12" t="n">
        <f aca="false">IF(P42="BUY",Control!$B$12,IF(P42="ACCUMULATE",Control!$B$13,0))</f>
        <v>0</v>
      </c>
      <c r="S42" s="3" t="str">
        <f aca="false">IF(B42=FALSE(),"",IF(T42=C42,"Rich valuation",IF(T42=E42,"Weak growth",IF(T42=F42,"Balance-sheet leverage",IF(T42=I42,"Negative momentum","High volatility/drawdown")))))</f>
        <v>Rich valuation</v>
      </c>
      <c r="T42" s="3" t="n">
        <f aca="false">MIN(C42,E42,F42,I42,J42)</f>
        <v>50</v>
      </c>
      <c r="U42" s="3" t="n">
        <f aca="false">IF(B42=TRUE(),N42,-1000+ROW()/1000000)</f>
        <v>50.700042</v>
      </c>
    </row>
    <row r="43" customFormat="false" ht="15" hidden="false" customHeight="false" outlineLevel="0" collapsed="false">
      <c r="A43" s="7" t="str">
        <f aca="false">Tickers!A43</f>
        <v>SBICARD</v>
      </c>
      <c r="B43" s="19" t="b">
        <f aca="false">Tickers!F43</f>
        <v>1</v>
      </c>
      <c r="C43" s="5" t="n">
        <f aca="false">AVERAGE(IF(NOT(ISNUMBER(Fundamentals!C43)),50,IF(Fundamentals!C43&lt;=0,15,100*(1-(SUMPRODUCT(($B$2:$B$151=TRUE())*ISNUMBER(Fundamentals!$C$2:$C$151)*(Fundamentals!$C$2:$C$151&gt;0)*(Fundamentals!$C$2:$C$151&lt;Fundamentals!C43))/MAX(1,SUMPRODUCT(($B$2:$B$151=TRUE())*ISNUMBER(Fundamentals!$C$2:$C$151)*(Fundamentals!$C$2:$C$151&gt;0))))))),IF(NOT(ISNUMBER(Fundamentals!E43)),50,IF(Fundamentals!E43&lt;=0,15,100*(1-(SUMPRODUCT(($B$2:$B$151=TRUE())*ISNUMBER(Fundamentals!$E$2:$E$151)*(Fundamentals!$E$2:$E$151&gt;0)*(Fundamentals!$E$2:$E$151&lt;Fundamentals!E43))/MAX(1,SUMPRODUCT(($B$2:$B$151=TRUE())*ISNUMBER(Fundamentals!$E$2:$E$151)*(Fundamentals!$E$2:$E$151&gt;0))))))))</f>
        <v>50</v>
      </c>
      <c r="D43" s="5" t="n">
        <f aca="false">AVERAGE(IF(NOT(ISNUMBER(Fundamentals!F43)),50,100*(SUMPRODUCT(($B$2:$B$151=TRUE())*ISNUMBER(Fundamentals!$F$2:$F$151)*(Fundamentals!$F$2:$F$151&lt;Fundamentals!F43))/MAX(1,SUMPRODUCT(($B$2:$B$151=TRUE())*ISNUMBER(Fundamentals!$F$2:$F$151))))),IF(NOT(ISNUMBER(Fundamentals!J43)),50,100*(SUMPRODUCT(($B$2:$B$151=TRUE())*ISNUMBER(Fundamentals!$J$2:$J$151)*(Fundamentals!$J$2:$J$151&lt;Fundamentals!J43))/MAX(1,SUMPRODUCT(($B$2:$B$151=TRUE())*ISNUMBER(Fundamentals!$J$2:$J$151))))))</f>
        <v>50</v>
      </c>
      <c r="E43" s="5" t="n">
        <f aca="false">AVERAGE(IF(NOT(ISNUMBER(Fundamentals!H43)),50,100*(SUMPRODUCT(($B$2:$B$151=TRUE())*ISNUMBER(Fundamentals!$H$2:$H$151)*(Fundamentals!$H$2:$H$151&lt;Fundamentals!H43))/MAX(1,SUMPRODUCT(($B$2:$B$151=TRUE())*ISNUMBER(Fundamentals!$H$2:$H$151))))),IF(NOT(ISNUMBER(Fundamentals!I43)),50,100*(SUMPRODUCT(($B$2:$B$151=TRUE())*ISNUMBER(Fundamentals!$I$2:$I$151)*(Fundamentals!$I$2:$I$151&lt;Fundamentals!I43))/MAX(1,SUMPRODUCT(($B$2:$B$151=TRUE())*ISNUMBER(Fundamentals!$I$2:$I$151))))))</f>
        <v>50</v>
      </c>
      <c r="F43" s="5" t="n">
        <f aca="false">IF(Tickers!C43="Financial Services",50,IF(NOT(ISNUMBER(Fundamentals!G43)),50,100*(1-(SUMPRODUCT(($B$2:$B$151=TRUE())*ISNUMBER(Fundamentals!$G$2:$G$151)*(Fundamentals!$G$2:$G$151&lt;Fundamentals!G43))/MAX(1,SUMPRODUCT(($B$2:$B$151=TRUE())*ISNUMBER(Fundamentals!$G$2:$G$151)))))))</f>
        <v>50</v>
      </c>
      <c r="G43" s="5" t="n">
        <f aca="false">AVERAGE(C43:F43)</f>
        <v>50</v>
      </c>
      <c r="H43" s="5" t="n">
        <f aca="false">MIN(100,MAX(0,IF(NOT(ISNUMBER(PriceMetrics!K43)),50,100*(SUMPRODUCT(($B$2:$B$151=TRUE())*ISNUMBER(PriceMetrics!$K$2:$K$151)*(PriceMetrics!$K$2:$K$151&lt;PriceMetrics!K43))/MAX(1,SUMPRODUCT(($B$2:$B$151=TRUE())*ISNUMBER(PriceMetrics!$K$2:$K$151)))))+IF(ISNUMBER(PriceMetrics!L43),10*PriceMetrics!L43,0)))</f>
        <v>50</v>
      </c>
      <c r="I43" s="5" t="n">
        <f aca="false">0.6*IF(NOT(ISNUMBER(PriceMetrics!P43)),50,100*(SUMPRODUCT(($B$2:$B$151=TRUE())*ISNUMBER(PriceMetrics!$P$2:$P$151)*(PriceMetrics!$P$2:$P$151&lt;PriceMetrics!P43))/MAX(1,SUMPRODUCT(($B$2:$B$151=TRUE())*ISNUMBER(PriceMetrics!$P$2:$P$151)))))+0.4*IF(NOT(ISNUMBER(PriceMetrics!H43)),50,IF(PriceMetrics!H43&gt;70,40,IF(PriceMetrics!H43&gt;=50,100,IF(PriceMetrics!H43&gt;=35,60,30))))</f>
        <v>50</v>
      </c>
      <c r="J43" s="5" t="n">
        <f aca="false">AVERAGE(IF(NOT(ISNUMBER(PriceMetrics!F43)),50,100*(1-(SUMPRODUCT(($B$2:$B$151=TRUE())*ISNUMBER(PriceMetrics!$F$2:$F$151)*(PriceMetrics!$F$2:$F$151&lt;PriceMetrics!F43))/MAX(1,SUMPRODUCT(($B$2:$B$151=TRUE())*ISNUMBER(PriceMetrics!$F$2:$F$151)))))),IF(NOT(ISNUMBER(PriceMetrics!G43)),50,100*(1-(SUMPRODUCT(($B$2:$B$151=TRUE())*ISNUMBER(PriceMetrics!$G$2:$G$151)*(ABS(PriceMetrics!$G$2:$G$151)&lt;ABS(PriceMetrics!G43)))/MAX(1,SUMPRODUCT(($B$2:$B$151=TRUE())*ISNUMBER(PriceMetrics!$G$2:$G$151)))))))</f>
        <v>50</v>
      </c>
      <c r="K43" s="5" t="n">
        <f aca="false">AVERAGE(H43:J43)</f>
        <v>50</v>
      </c>
      <c r="L43" s="8" t="n">
        <f aca="false">Macro!$B$26</f>
        <v>53.5</v>
      </c>
      <c r="M43" s="5" t="n">
        <f aca="false">Control!$B$3*100*G43/100+Control!$B$4*K43+Control!$B$5*L43</f>
        <v>50.7</v>
      </c>
      <c r="N43" s="3" t="n">
        <f aca="false">M43+ROW()/1000000</f>
        <v>50.700043</v>
      </c>
      <c r="O43" s="5" t="n">
        <f aca="false">M43-IF(AND(Tickers!D43="SMALLCAP100",Macro!$B$26&lt;40),Control!$B$11,0)</f>
        <v>50.7</v>
      </c>
      <c r="P43" s="3" t="str">
        <f aca="false">IF(B43=FALSE(),"-",IF(O43&gt;=Control!$B$7,"BUY",IF(O43&gt;=Control!$B$8,"ACCUMULATE",IF(O43&gt;=Control!$B$9,"HOLD","AVOID"))))</f>
        <v>HOLD</v>
      </c>
      <c r="Q43" s="3" t="str">
        <f aca="false">IF(B43=FALSE(),"",IF(OR(O43&gt;=72,O43&lt;=32),"High",IF(OR(O43&gt;=62,O43&lt;=42),"Medium","Low")))</f>
        <v>Low</v>
      </c>
      <c r="R43" s="12" t="n">
        <f aca="false">IF(P43="BUY",Control!$B$12,IF(P43="ACCUMULATE",Control!$B$13,0))</f>
        <v>0</v>
      </c>
      <c r="S43" s="3" t="str">
        <f aca="false">IF(B43=FALSE(),"",IF(T43=C43,"Rich valuation",IF(T43=E43,"Weak growth",IF(T43=F43,"Balance-sheet leverage",IF(T43=I43,"Negative momentum","High volatility/drawdown")))))</f>
        <v>Rich valuation</v>
      </c>
      <c r="T43" s="3" t="n">
        <f aca="false">MIN(C43,E43,F43,I43,J43)</f>
        <v>50</v>
      </c>
      <c r="U43" s="3" t="n">
        <f aca="false">IF(B43=TRUE(),N43,-1000+ROW()/1000000)</f>
        <v>50.700043</v>
      </c>
    </row>
    <row r="44" customFormat="false" ht="15" hidden="false" customHeight="false" outlineLevel="0" collapsed="false">
      <c r="A44" s="7" t="str">
        <f aca="false">Tickers!A44</f>
        <v>SRF</v>
      </c>
      <c r="B44" s="19" t="b">
        <f aca="false">Tickers!F44</f>
        <v>1</v>
      </c>
      <c r="C44" s="5" t="n">
        <f aca="false">AVERAGE(IF(NOT(ISNUMBER(Fundamentals!C44)),50,IF(Fundamentals!C44&lt;=0,15,100*(1-(SUMPRODUCT(($B$2:$B$151=TRUE())*ISNUMBER(Fundamentals!$C$2:$C$151)*(Fundamentals!$C$2:$C$151&gt;0)*(Fundamentals!$C$2:$C$151&lt;Fundamentals!C44))/MAX(1,SUMPRODUCT(($B$2:$B$151=TRUE())*ISNUMBER(Fundamentals!$C$2:$C$151)*(Fundamentals!$C$2:$C$151&gt;0))))))),IF(NOT(ISNUMBER(Fundamentals!E44)),50,IF(Fundamentals!E44&lt;=0,15,100*(1-(SUMPRODUCT(($B$2:$B$151=TRUE())*ISNUMBER(Fundamentals!$E$2:$E$151)*(Fundamentals!$E$2:$E$151&gt;0)*(Fundamentals!$E$2:$E$151&lt;Fundamentals!E44))/MAX(1,SUMPRODUCT(($B$2:$B$151=TRUE())*ISNUMBER(Fundamentals!$E$2:$E$151)*(Fundamentals!$E$2:$E$151&gt;0))))))))</f>
        <v>50</v>
      </c>
      <c r="D44" s="5" t="n">
        <f aca="false">AVERAGE(IF(NOT(ISNUMBER(Fundamentals!F44)),50,100*(SUMPRODUCT(($B$2:$B$151=TRUE())*ISNUMBER(Fundamentals!$F$2:$F$151)*(Fundamentals!$F$2:$F$151&lt;Fundamentals!F44))/MAX(1,SUMPRODUCT(($B$2:$B$151=TRUE())*ISNUMBER(Fundamentals!$F$2:$F$151))))),IF(NOT(ISNUMBER(Fundamentals!J44)),50,100*(SUMPRODUCT(($B$2:$B$151=TRUE())*ISNUMBER(Fundamentals!$J$2:$J$151)*(Fundamentals!$J$2:$J$151&lt;Fundamentals!J44))/MAX(1,SUMPRODUCT(($B$2:$B$151=TRUE())*ISNUMBER(Fundamentals!$J$2:$J$151))))))</f>
        <v>50</v>
      </c>
      <c r="E44" s="5" t="n">
        <f aca="false">AVERAGE(IF(NOT(ISNUMBER(Fundamentals!H44)),50,100*(SUMPRODUCT(($B$2:$B$151=TRUE())*ISNUMBER(Fundamentals!$H$2:$H$151)*(Fundamentals!$H$2:$H$151&lt;Fundamentals!H44))/MAX(1,SUMPRODUCT(($B$2:$B$151=TRUE())*ISNUMBER(Fundamentals!$H$2:$H$151))))),IF(NOT(ISNUMBER(Fundamentals!I44)),50,100*(SUMPRODUCT(($B$2:$B$151=TRUE())*ISNUMBER(Fundamentals!$I$2:$I$151)*(Fundamentals!$I$2:$I$151&lt;Fundamentals!I44))/MAX(1,SUMPRODUCT(($B$2:$B$151=TRUE())*ISNUMBER(Fundamentals!$I$2:$I$151))))))</f>
        <v>50</v>
      </c>
      <c r="F44" s="5" t="n">
        <f aca="false">IF(Tickers!C44="Financial Services",50,IF(NOT(ISNUMBER(Fundamentals!G44)),50,100*(1-(SUMPRODUCT(($B$2:$B$151=TRUE())*ISNUMBER(Fundamentals!$G$2:$G$151)*(Fundamentals!$G$2:$G$151&lt;Fundamentals!G44))/MAX(1,SUMPRODUCT(($B$2:$B$151=TRUE())*ISNUMBER(Fundamentals!$G$2:$G$151)))))))</f>
        <v>50</v>
      </c>
      <c r="G44" s="5" t="n">
        <f aca="false">AVERAGE(C44:F44)</f>
        <v>50</v>
      </c>
      <c r="H44" s="5" t="n">
        <f aca="false">MIN(100,MAX(0,IF(NOT(ISNUMBER(PriceMetrics!K44)),50,100*(SUMPRODUCT(($B$2:$B$151=TRUE())*ISNUMBER(PriceMetrics!$K$2:$K$151)*(PriceMetrics!$K$2:$K$151&lt;PriceMetrics!K44))/MAX(1,SUMPRODUCT(($B$2:$B$151=TRUE())*ISNUMBER(PriceMetrics!$K$2:$K$151)))))+IF(ISNUMBER(PriceMetrics!L44),10*PriceMetrics!L44,0)))</f>
        <v>50</v>
      </c>
      <c r="I44" s="5" t="n">
        <f aca="false">0.6*IF(NOT(ISNUMBER(PriceMetrics!P44)),50,100*(SUMPRODUCT(($B$2:$B$151=TRUE())*ISNUMBER(PriceMetrics!$P$2:$P$151)*(PriceMetrics!$P$2:$P$151&lt;PriceMetrics!P44))/MAX(1,SUMPRODUCT(($B$2:$B$151=TRUE())*ISNUMBER(PriceMetrics!$P$2:$P$151)))))+0.4*IF(NOT(ISNUMBER(PriceMetrics!H44)),50,IF(PriceMetrics!H44&gt;70,40,IF(PriceMetrics!H44&gt;=50,100,IF(PriceMetrics!H44&gt;=35,60,30))))</f>
        <v>50</v>
      </c>
      <c r="J44" s="5" t="n">
        <f aca="false">AVERAGE(IF(NOT(ISNUMBER(PriceMetrics!F44)),50,100*(1-(SUMPRODUCT(($B$2:$B$151=TRUE())*ISNUMBER(PriceMetrics!$F$2:$F$151)*(PriceMetrics!$F$2:$F$151&lt;PriceMetrics!F44))/MAX(1,SUMPRODUCT(($B$2:$B$151=TRUE())*ISNUMBER(PriceMetrics!$F$2:$F$151)))))),IF(NOT(ISNUMBER(PriceMetrics!G44)),50,100*(1-(SUMPRODUCT(($B$2:$B$151=TRUE())*ISNUMBER(PriceMetrics!$G$2:$G$151)*(ABS(PriceMetrics!$G$2:$G$151)&lt;ABS(PriceMetrics!G44)))/MAX(1,SUMPRODUCT(($B$2:$B$151=TRUE())*ISNUMBER(PriceMetrics!$G$2:$G$151)))))))</f>
        <v>50</v>
      </c>
      <c r="K44" s="5" t="n">
        <f aca="false">AVERAGE(H44:J44)</f>
        <v>50</v>
      </c>
      <c r="L44" s="8" t="n">
        <f aca="false">Macro!$B$26</f>
        <v>53.5</v>
      </c>
      <c r="M44" s="5" t="n">
        <f aca="false">Control!$B$3*100*G44/100+Control!$B$4*K44+Control!$B$5*L44</f>
        <v>50.7</v>
      </c>
      <c r="N44" s="3" t="n">
        <f aca="false">M44+ROW()/1000000</f>
        <v>50.700044</v>
      </c>
      <c r="O44" s="5" t="n">
        <f aca="false">M44-IF(AND(Tickers!D44="SMALLCAP100",Macro!$B$26&lt;40),Control!$B$11,0)</f>
        <v>50.7</v>
      </c>
      <c r="P44" s="3" t="str">
        <f aca="false">IF(B44=FALSE(),"-",IF(O44&gt;=Control!$B$7,"BUY",IF(O44&gt;=Control!$B$8,"ACCUMULATE",IF(O44&gt;=Control!$B$9,"HOLD","AVOID"))))</f>
        <v>HOLD</v>
      </c>
      <c r="Q44" s="3" t="str">
        <f aca="false">IF(B44=FALSE(),"",IF(OR(O44&gt;=72,O44&lt;=32),"High",IF(OR(O44&gt;=62,O44&lt;=42),"Medium","Low")))</f>
        <v>Low</v>
      </c>
      <c r="R44" s="12" t="n">
        <f aca="false">IF(P44="BUY",Control!$B$12,IF(P44="ACCUMULATE",Control!$B$13,0))</f>
        <v>0</v>
      </c>
      <c r="S44" s="3" t="str">
        <f aca="false">IF(B44=FALSE(),"",IF(T44=C44,"Rich valuation",IF(T44=E44,"Weak growth",IF(T44=F44,"Balance-sheet leverage",IF(T44=I44,"Negative momentum","High volatility/drawdown")))))</f>
        <v>Rich valuation</v>
      </c>
      <c r="T44" s="3" t="n">
        <f aca="false">MIN(C44,E44,F44,I44,J44)</f>
        <v>50</v>
      </c>
      <c r="U44" s="3" t="n">
        <f aca="false">IF(B44=TRUE(),N44,-1000+ROW()/1000000)</f>
        <v>50.700044</v>
      </c>
    </row>
    <row r="45" customFormat="false" ht="15" hidden="false" customHeight="false" outlineLevel="0" collapsed="false">
      <c r="A45" s="7" t="str">
        <f aca="false">Tickers!A45</f>
        <v>SUPREMEIND</v>
      </c>
      <c r="B45" s="19" t="b">
        <f aca="false">Tickers!F45</f>
        <v>1</v>
      </c>
      <c r="C45" s="5" t="n">
        <f aca="false">AVERAGE(IF(NOT(ISNUMBER(Fundamentals!C45)),50,IF(Fundamentals!C45&lt;=0,15,100*(1-(SUMPRODUCT(($B$2:$B$151=TRUE())*ISNUMBER(Fundamentals!$C$2:$C$151)*(Fundamentals!$C$2:$C$151&gt;0)*(Fundamentals!$C$2:$C$151&lt;Fundamentals!C45))/MAX(1,SUMPRODUCT(($B$2:$B$151=TRUE())*ISNUMBER(Fundamentals!$C$2:$C$151)*(Fundamentals!$C$2:$C$151&gt;0))))))),IF(NOT(ISNUMBER(Fundamentals!E45)),50,IF(Fundamentals!E45&lt;=0,15,100*(1-(SUMPRODUCT(($B$2:$B$151=TRUE())*ISNUMBER(Fundamentals!$E$2:$E$151)*(Fundamentals!$E$2:$E$151&gt;0)*(Fundamentals!$E$2:$E$151&lt;Fundamentals!E45))/MAX(1,SUMPRODUCT(($B$2:$B$151=TRUE())*ISNUMBER(Fundamentals!$E$2:$E$151)*(Fundamentals!$E$2:$E$151&gt;0))))))))</f>
        <v>50</v>
      </c>
      <c r="D45" s="5" t="n">
        <f aca="false">AVERAGE(IF(NOT(ISNUMBER(Fundamentals!F45)),50,100*(SUMPRODUCT(($B$2:$B$151=TRUE())*ISNUMBER(Fundamentals!$F$2:$F$151)*(Fundamentals!$F$2:$F$151&lt;Fundamentals!F45))/MAX(1,SUMPRODUCT(($B$2:$B$151=TRUE())*ISNUMBER(Fundamentals!$F$2:$F$151))))),IF(NOT(ISNUMBER(Fundamentals!J45)),50,100*(SUMPRODUCT(($B$2:$B$151=TRUE())*ISNUMBER(Fundamentals!$J$2:$J$151)*(Fundamentals!$J$2:$J$151&lt;Fundamentals!J45))/MAX(1,SUMPRODUCT(($B$2:$B$151=TRUE())*ISNUMBER(Fundamentals!$J$2:$J$151))))))</f>
        <v>50</v>
      </c>
      <c r="E45" s="5" t="n">
        <f aca="false">AVERAGE(IF(NOT(ISNUMBER(Fundamentals!H45)),50,100*(SUMPRODUCT(($B$2:$B$151=TRUE())*ISNUMBER(Fundamentals!$H$2:$H$151)*(Fundamentals!$H$2:$H$151&lt;Fundamentals!H45))/MAX(1,SUMPRODUCT(($B$2:$B$151=TRUE())*ISNUMBER(Fundamentals!$H$2:$H$151))))),IF(NOT(ISNUMBER(Fundamentals!I45)),50,100*(SUMPRODUCT(($B$2:$B$151=TRUE())*ISNUMBER(Fundamentals!$I$2:$I$151)*(Fundamentals!$I$2:$I$151&lt;Fundamentals!I45))/MAX(1,SUMPRODUCT(($B$2:$B$151=TRUE())*ISNUMBER(Fundamentals!$I$2:$I$151))))))</f>
        <v>50</v>
      </c>
      <c r="F45" s="5" t="n">
        <f aca="false">IF(Tickers!C45="Financial Services",50,IF(NOT(ISNUMBER(Fundamentals!G45)),50,100*(1-(SUMPRODUCT(($B$2:$B$151=TRUE())*ISNUMBER(Fundamentals!$G$2:$G$151)*(Fundamentals!$G$2:$G$151&lt;Fundamentals!G45))/MAX(1,SUMPRODUCT(($B$2:$B$151=TRUE())*ISNUMBER(Fundamentals!$G$2:$G$151)))))))</f>
        <v>50</v>
      </c>
      <c r="G45" s="5" t="n">
        <f aca="false">AVERAGE(C45:F45)</f>
        <v>50</v>
      </c>
      <c r="H45" s="5" t="n">
        <f aca="false">MIN(100,MAX(0,IF(NOT(ISNUMBER(PriceMetrics!K45)),50,100*(SUMPRODUCT(($B$2:$B$151=TRUE())*ISNUMBER(PriceMetrics!$K$2:$K$151)*(PriceMetrics!$K$2:$K$151&lt;PriceMetrics!K45))/MAX(1,SUMPRODUCT(($B$2:$B$151=TRUE())*ISNUMBER(PriceMetrics!$K$2:$K$151)))))+IF(ISNUMBER(PriceMetrics!L45),10*PriceMetrics!L45,0)))</f>
        <v>50</v>
      </c>
      <c r="I45" s="5" t="n">
        <f aca="false">0.6*IF(NOT(ISNUMBER(PriceMetrics!P45)),50,100*(SUMPRODUCT(($B$2:$B$151=TRUE())*ISNUMBER(PriceMetrics!$P$2:$P$151)*(PriceMetrics!$P$2:$P$151&lt;PriceMetrics!P45))/MAX(1,SUMPRODUCT(($B$2:$B$151=TRUE())*ISNUMBER(PriceMetrics!$P$2:$P$151)))))+0.4*IF(NOT(ISNUMBER(PriceMetrics!H45)),50,IF(PriceMetrics!H45&gt;70,40,IF(PriceMetrics!H45&gt;=50,100,IF(PriceMetrics!H45&gt;=35,60,30))))</f>
        <v>50</v>
      </c>
      <c r="J45" s="5" t="n">
        <f aca="false">AVERAGE(IF(NOT(ISNUMBER(PriceMetrics!F45)),50,100*(1-(SUMPRODUCT(($B$2:$B$151=TRUE())*ISNUMBER(PriceMetrics!$F$2:$F$151)*(PriceMetrics!$F$2:$F$151&lt;PriceMetrics!F45))/MAX(1,SUMPRODUCT(($B$2:$B$151=TRUE())*ISNUMBER(PriceMetrics!$F$2:$F$151)))))),IF(NOT(ISNUMBER(PriceMetrics!G45)),50,100*(1-(SUMPRODUCT(($B$2:$B$151=TRUE())*ISNUMBER(PriceMetrics!$G$2:$G$151)*(ABS(PriceMetrics!$G$2:$G$151)&lt;ABS(PriceMetrics!G45)))/MAX(1,SUMPRODUCT(($B$2:$B$151=TRUE())*ISNUMBER(PriceMetrics!$G$2:$G$151)))))))</f>
        <v>50</v>
      </c>
      <c r="K45" s="5" t="n">
        <f aca="false">AVERAGE(H45:J45)</f>
        <v>50</v>
      </c>
      <c r="L45" s="8" t="n">
        <f aca="false">Macro!$B$26</f>
        <v>53.5</v>
      </c>
      <c r="M45" s="5" t="n">
        <f aca="false">Control!$B$3*100*G45/100+Control!$B$4*K45+Control!$B$5*L45</f>
        <v>50.7</v>
      </c>
      <c r="N45" s="3" t="n">
        <f aca="false">M45+ROW()/1000000</f>
        <v>50.700045</v>
      </c>
      <c r="O45" s="5" t="n">
        <f aca="false">M45-IF(AND(Tickers!D45="SMALLCAP100",Macro!$B$26&lt;40),Control!$B$11,0)</f>
        <v>50.7</v>
      </c>
      <c r="P45" s="3" t="str">
        <f aca="false">IF(B45=FALSE(),"-",IF(O45&gt;=Control!$B$7,"BUY",IF(O45&gt;=Control!$B$8,"ACCUMULATE",IF(O45&gt;=Control!$B$9,"HOLD","AVOID"))))</f>
        <v>HOLD</v>
      </c>
      <c r="Q45" s="3" t="str">
        <f aca="false">IF(B45=FALSE(),"",IF(OR(O45&gt;=72,O45&lt;=32),"High",IF(OR(O45&gt;=62,O45&lt;=42),"Medium","Low")))</f>
        <v>Low</v>
      </c>
      <c r="R45" s="12" t="n">
        <f aca="false">IF(P45="BUY",Control!$B$12,IF(P45="ACCUMULATE",Control!$B$13,0))</f>
        <v>0</v>
      </c>
      <c r="S45" s="3" t="str">
        <f aca="false">IF(B45=FALSE(),"",IF(T45=C45,"Rich valuation",IF(T45=E45,"Weak growth",IF(T45=F45,"Balance-sheet leverage",IF(T45=I45,"Negative momentum","High volatility/drawdown")))))</f>
        <v>Rich valuation</v>
      </c>
      <c r="T45" s="3" t="n">
        <f aca="false">MIN(C45,E45,F45,I45,J45)</f>
        <v>50</v>
      </c>
      <c r="U45" s="3" t="n">
        <f aca="false">IF(B45=TRUE(),N45,-1000+ROW()/1000000)</f>
        <v>50.700045</v>
      </c>
    </row>
    <row r="46" customFormat="false" ht="15" hidden="false" customHeight="false" outlineLevel="0" collapsed="false">
      <c r="A46" s="7" t="str">
        <f aca="false">Tickers!A46</f>
        <v>SUZLON</v>
      </c>
      <c r="B46" s="19" t="b">
        <f aca="false">Tickers!F46</f>
        <v>1</v>
      </c>
      <c r="C46" s="5" t="n">
        <f aca="false">AVERAGE(IF(NOT(ISNUMBER(Fundamentals!C46)),50,IF(Fundamentals!C46&lt;=0,15,100*(1-(SUMPRODUCT(($B$2:$B$151=TRUE())*ISNUMBER(Fundamentals!$C$2:$C$151)*(Fundamentals!$C$2:$C$151&gt;0)*(Fundamentals!$C$2:$C$151&lt;Fundamentals!C46))/MAX(1,SUMPRODUCT(($B$2:$B$151=TRUE())*ISNUMBER(Fundamentals!$C$2:$C$151)*(Fundamentals!$C$2:$C$151&gt;0))))))),IF(NOT(ISNUMBER(Fundamentals!E46)),50,IF(Fundamentals!E46&lt;=0,15,100*(1-(SUMPRODUCT(($B$2:$B$151=TRUE())*ISNUMBER(Fundamentals!$E$2:$E$151)*(Fundamentals!$E$2:$E$151&gt;0)*(Fundamentals!$E$2:$E$151&lt;Fundamentals!E46))/MAX(1,SUMPRODUCT(($B$2:$B$151=TRUE())*ISNUMBER(Fundamentals!$E$2:$E$151)*(Fundamentals!$E$2:$E$151&gt;0))))))))</f>
        <v>50</v>
      </c>
      <c r="D46" s="5" t="n">
        <f aca="false">AVERAGE(IF(NOT(ISNUMBER(Fundamentals!F46)),50,100*(SUMPRODUCT(($B$2:$B$151=TRUE())*ISNUMBER(Fundamentals!$F$2:$F$151)*(Fundamentals!$F$2:$F$151&lt;Fundamentals!F46))/MAX(1,SUMPRODUCT(($B$2:$B$151=TRUE())*ISNUMBER(Fundamentals!$F$2:$F$151))))),IF(NOT(ISNUMBER(Fundamentals!J46)),50,100*(SUMPRODUCT(($B$2:$B$151=TRUE())*ISNUMBER(Fundamentals!$J$2:$J$151)*(Fundamentals!$J$2:$J$151&lt;Fundamentals!J46))/MAX(1,SUMPRODUCT(($B$2:$B$151=TRUE())*ISNUMBER(Fundamentals!$J$2:$J$151))))))</f>
        <v>50</v>
      </c>
      <c r="E46" s="5" t="n">
        <f aca="false">AVERAGE(IF(NOT(ISNUMBER(Fundamentals!H46)),50,100*(SUMPRODUCT(($B$2:$B$151=TRUE())*ISNUMBER(Fundamentals!$H$2:$H$151)*(Fundamentals!$H$2:$H$151&lt;Fundamentals!H46))/MAX(1,SUMPRODUCT(($B$2:$B$151=TRUE())*ISNUMBER(Fundamentals!$H$2:$H$151))))),IF(NOT(ISNUMBER(Fundamentals!I46)),50,100*(SUMPRODUCT(($B$2:$B$151=TRUE())*ISNUMBER(Fundamentals!$I$2:$I$151)*(Fundamentals!$I$2:$I$151&lt;Fundamentals!I46))/MAX(1,SUMPRODUCT(($B$2:$B$151=TRUE())*ISNUMBER(Fundamentals!$I$2:$I$151))))))</f>
        <v>50</v>
      </c>
      <c r="F46" s="5" t="n">
        <f aca="false">IF(Tickers!C46="Financial Services",50,IF(NOT(ISNUMBER(Fundamentals!G46)),50,100*(1-(SUMPRODUCT(($B$2:$B$151=TRUE())*ISNUMBER(Fundamentals!$G$2:$G$151)*(Fundamentals!$G$2:$G$151&lt;Fundamentals!G46))/MAX(1,SUMPRODUCT(($B$2:$B$151=TRUE())*ISNUMBER(Fundamentals!$G$2:$G$151)))))))</f>
        <v>50</v>
      </c>
      <c r="G46" s="5" t="n">
        <f aca="false">AVERAGE(C46:F46)</f>
        <v>50</v>
      </c>
      <c r="H46" s="5" t="n">
        <f aca="false">MIN(100,MAX(0,IF(NOT(ISNUMBER(PriceMetrics!K46)),50,100*(SUMPRODUCT(($B$2:$B$151=TRUE())*ISNUMBER(PriceMetrics!$K$2:$K$151)*(PriceMetrics!$K$2:$K$151&lt;PriceMetrics!K46))/MAX(1,SUMPRODUCT(($B$2:$B$151=TRUE())*ISNUMBER(PriceMetrics!$K$2:$K$151)))))+IF(ISNUMBER(PriceMetrics!L46),10*PriceMetrics!L46,0)))</f>
        <v>50</v>
      </c>
      <c r="I46" s="5" t="n">
        <f aca="false">0.6*IF(NOT(ISNUMBER(PriceMetrics!P46)),50,100*(SUMPRODUCT(($B$2:$B$151=TRUE())*ISNUMBER(PriceMetrics!$P$2:$P$151)*(PriceMetrics!$P$2:$P$151&lt;PriceMetrics!P46))/MAX(1,SUMPRODUCT(($B$2:$B$151=TRUE())*ISNUMBER(PriceMetrics!$P$2:$P$151)))))+0.4*IF(NOT(ISNUMBER(PriceMetrics!H46)),50,IF(PriceMetrics!H46&gt;70,40,IF(PriceMetrics!H46&gt;=50,100,IF(PriceMetrics!H46&gt;=35,60,30))))</f>
        <v>50</v>
      </c>
      <c r="J46" s="5" t="n">
        <f aca="false">AVERAGE(IF(NOT(ISNUMBER(PriceMetrics!F46)),50,100*(1-(SUMPRODUCT(($B$2:$B$151=TRUE())*ISNUMBER(PriceMetrics!$F$2:$F$151)*(PriceMetrics!$F$2:$F$151&lt;PriceMetrics!F46))/MAX(1,SUMPRODUCT(($B$2:$B$151=TRUE())*ISNUMBER(PriceMetrics!$F$2:$F$151)))))),IF(NOT(ISNUMBER(PriceMetrics!G46)),50,100*(1-(SUMPRODUCT(($B$2:$B$151=TRUE())*ISNUMBER(PriceMetrics!$G$2:$G$151)*(ABS(PriceMetrics!$G$2:$G$151)&lt;ABS(PriceMetrics!G46)))/MAX(1,SUMPRODUCT(($B$2:$B$151=TRUE())*ISNUMBER(PriceMetrics!$G$2:$G$151)))))))</f>
        <v>50</v>
      </c>
      <c r="K46" s="5" t="n">
        <f aca="false">AVERAGE(H46:J46)</f>
        <v>50</v>
      </c>
      <c r="L46" s="8" t="n">
        <f aca="false">Macro!$B$26</f>
        <v>53.5</v>
      </c>
      <c r="M46" s="5" t="n">
        <f aca="false">Control!$B$3*100*G46/100+Control!$B$4*K46+Control!$B$5*L46</f>
        <v>50.7</v>
      </c>
      <c r="N46" s="3" t="n">
        <f aca="false">M46+ROW()/1000000</f>
        <v>50.700046</v>
      </c>
      <c r="O46" s="5" t="n">
        <f aca="false">M46-IF(AND(Tickers!D46="SMALLCAP100",Macro!$B$26&lt;40),Control!$B$11,0)</f>
        <v>50.7</v>
      </c>
      <c r="P46" s="3" t="str">
        <f aca="false">IF(B46=FALSE(),"-",IF(O46&gt;=Control!$B$7,"BUY",IF(O46&gt;=Control!$B$8,"ACCUMULATE",IF(O46&gt;=Control!$B$9,"HOLD","AVOID"))))</f>
        <v>HOLD</v>
      </c>
      <c r="Q46" s="3" t="str">
        <f aca="false">IF(B46=FALSE(),"",IF(OR(O46&gt;=72,O46&lt;=32),"High",IF(OR(O46&gt;=62,O46&lt;=42),"Medium","Low")))</f>
        <v>Low</v>
      </c>
      <c r="R46" s="12" t="n">
        <f aca="false">IF(P46="BUY",Control!$B$12,IF(P46="ACCUMULATE",Control!$B$13,0))</f>
        <v>0</v>
      </c>
      <c r="S46" s="3" t="str">
        <f aca="false">IF(B46=FALSE(),"",IF(T46=C46,"Rich valuation",IF(T46=E46,"Weak growth",IF(T46=F46,"Balance-sheet leverage",IF(T46=I46,"Negative momentum","High volatility/drawdown")))))</f>
        <v>Rich valuation</v>
      </c>
      <c r="T46" s="3" t="n">
        <f aca="false">MIN(C46,E46,F46,I46,J46)</f>
        <v>50</v>
      </c>
      <c r="U46" s="3" t="n">
        <f aca="false">IF(B46=TRUE(),N46,-1000+ROW()/1000000)</f>
        <v>50.700046</v>
      </c>
    </row>
    <row r="47" customFormat="false" ht="15" hidden="false" customHeight="false" outlineLevel="0" collapsed="false">
      <c r="A47" s="7" t="str">
        <f aca="false">Tickers!A47</f>
        <v>SWIGGY</v>
      </c>
      <c r="B47" s="19" t="b">
        <f aca="false">Tickers!F47</f>
        <v>1</v>
      </c>
      <c r="C47" s="5" t="n">
        <f aca="false">AVERAGE(IF(NOT(ISNUMBER(Fundamentals!C47)),50,IF(Fundamentals!C47&lt;=0,15,100*(1-(SUMPRODUCT(($B$2:$B$151=TRUE())*ISNUMBER(Fundamentals!$C$2:$C$151)*(Fundamentals!$C$2:$C$151&gt;0)*(Fundamentals!$C$2:$C$151&lt;Fundamentals!C47))/MAX(1,SUMPRODUCT(($B$2:$B$151=TRUE())*ISNUMBER(Fundamentals!$C$2:$C$151)*(Fundamentals!$C$2:$C$151&gt;0))))))),IF(NOT(ISNUMBER(Fundamentals!E47)),50,IF(Fundamentals!E47&lt;=0,15,100*(1-(SUMPRODUCT(($B$2:$B$151=TRUE())*ISNUMBER(Fundamentals!$E$2:$E$151)*(Fundamentals!$E$2:$E$151&gt;0)*(Fundamentals!$E$2:$E$151&lt;Fundamentals!E47))/MAX(1,SUMPRODUCT(($B$2:$B$151=TRUE())*ISNUMBER(Fundamentals!$E$2:$E$151)*(Fundamentals!$E$2:$E$151&gt;0))))))))</f>
        <v>50</v>
      </c>
      <c r="D47" s="5" t="n">
        <f aca="false">AVERAGE(IF(NOT(ISNUMBER(Fundamentals!F47)),50,100*(SUMPRODUCT(($B$2:$B$151=TRUE())*ISNUMBER(Fundamentals!$F$2:$F$151)*(Fundamentals!$F$2:$F$151&lt;Fundamentals!F47))/MAX(1,SUMPRODUCT(($B$2:$B$151=TRUE())*ISNUMBER(Fundamentals!$F$2:$F$151))))),IF(NOT(ISNUMBER(Fundamentals!J47)),50,100*(SUMPRODUCT(($B$2:$B$151=TRUE())*ISNUMBER(Fundamentals!$J$2:$J$151)*(Fundamentals!$J$2:$J$151&lt;Fundamentals!J47))/MAX(1,SUMPRODUCT(($B$2:$B$151=TRUE())*ISNUMBER(Fundamentals!$J$2:$J$151))))))</f>
        <v>50</v>
      </c>
      <c r="E47" s="5" t="n">
        <f aca="false">AVERAGE(IF(NOT(ISNUMBER(Fundamentals!H47)),50,100*(SUMPRODUCT(($B$2:$B$151=TRUE())*ISNUMBER(Fundamentals!$H$2:$H$151)*(Fundamentals!$H$2:$H$151&lt;Fundamentals!H47))/MAX(1,SUMPRODUCT(($B$2:$B$151=TRUE())*ISNUMBER(Fundamentals!$H$2:$H$151))))),IF(NOT(ISNUMBER(Fundamentals!I47)),50,100*(SUMPRODUCT(($B$2:$B$151=TRUE())*ISNUMBER(Fundamentals!$I$2:$I$151)*(Fundamentals!$I$2:$I$151&lt;Fundamentals!I47))/MAX(1,SUMPRODUCT(($B$2:$B$151=TRUE())*ISNUMBER(Fundamentals!$I$2:$I$151))))))</f>
        <v>50</v>
      </c>
      <c r="F47" s="5" t="n">
        <f aca="false">IF(Tickers!C47="Financial Services",50,IF(NOT(ISNUMBER(Fundamentals!G47)),50,100*(1-(SUMPRODUCT(($B$2:$B$151=TRUE())*ISNUMBER(Fundamentals!$G$2:$G$151)*(Fundamentals!$G$2:$G$151&lt;Fundamentals!G47))/MAX(1,SUMPRODUCT(($B$2:$B$151=TRUE())*ISNUMBER(Fundamentals!$G$2:$G$151)))))))</f>
        <v>50</v>
      </c>
      <c r="G47" s="5" t="n">
        <f aca="false">AVERAGE(C47:F47)</f>
        <v>50</v>
      </c>
      <c r="H47" s="5" t="n">
        <f aca="false">MIN(100,MAX(0,IF(NOT(ISNUMBER(PriceMetrics!K47)),50,100*(SUMPRODUCT(($B$2:$B$151=TRUE())*ISNUMBER(PriceMetrics!$K$2:$K$151)*(PriceMetrics!$K$2:$K$151&lt;PriceMetrics!K47))/MAX(1,SUMPRODUCT(($B$2:$B$151=TRUE())*ISNUMBER(PriceMetrics!$K$2:$K$151)))))+IF(ISNUMBER(PriceMetrics!L47),10*PriceMetrics!L47,0)))</f>
        <v>50</v>
      </c>
      <c r="I47" s="5" t="n">
        <f aca="false">0.6*IF(NOT(ISNUMBER(PriceMetrics!P47)),50,100*(SUMPRODUCT(($B$2:$B$151=TRUE())*ISNUMBER(PriceMetrics!$P$2:$P$151)*(PriceMetrics!$P$2:$P$151&lt;PriceMetrics!P47))/MAX(1,SUMPRODUCT(($B$2:$B$151=TRUE())*ISNUMBER(PriceMetrics!$P$2:$P$151)))))+0.4*IF(NOT(ISNUMBER(PriceMetrics!H47)),50,IF(PriceMetrics!H47&gt;70,40,IF(PriceMetrics!H47&gt;=50,100,IF(PriceMetrics!H47&gt;=35,60,30))))</f>
        <v>50</v>
      </c>
      <c r="J47" s="5" t="n">
        <f aca="false">AVERAGE(IF(NOT(ISNUMBER(PriceMetrics!F47)),50,100*(1-(SUMPRODUCT(($B$2:$B$151=TRUE())*ISNUMBER(PriceMetrics!$F$2:$F$151)*(PriceMetrics!$F$2:$F$151&lt;PriceMetrics!F47))/MAX(1,SUMPRODUCT(($B$2:$B$151=TRUE())*ISNUMBER(PriceMetrics!$F$2:$F$151)))))),IF(NOT(ISNUMBER(PriceMetrics!G47)),50,100*(1-(SUMPRODUCT(($B$2:$B$151=TRUE())*ISNUMBER(PriceMetrics!$G$2:$G$151)*(ABS(PriceMetrics!$G$2:$G$151)&lt;ABS(PriceMetrics!G47)))/MAX(1,SUMPRODUCT(($B$2:$B$151=TRUE())*ISNUMBER(PriceMetrics!$G$2:$G$151)))))))</f>
        <v>50</v>
      </c>
      <c r="K47" s="5" t="n">
        <f aca="false">AVERAGE(H47:J47)</f>
        <v>50</v>
      </c>
      <c r="L47" s="8" t="n">
        <f aca="false">Macro!$B$26</f>
        <v>53.5</v>
      </c>
      <c r="M47" s="5" t="n">
        <f aca="false">Control!$B$3*100*G47/100+Control!$B$4*K47+Control!$B$5*L47</f>
        <v>50.7</v>
      </c>
      <c r="N47" s="3" t="n">
        <f aca="false">M47+ROW()/1000000</f>
        <v>50.700047</v>
      </c>
      <c r="O47" s="5" t="n">
        <f aca="false">M47-IF(AND(Tickers!D47="SMALLCAP100",Macro!$B$26&lt;40),Control!$B$11,0)</f>
        <v>50.7</v>
      </c>
      <c r="P47" s="3" t="str">
        <f aca="false">IF(B47=FALSE(),"-",IF(O47&gt;=Control!$B$7,"BUY",IF(O47&gt;=Control!$B$8,"ACCUMULATE",IF(O47&gt;=Control!$B$9,"HOLD","AVOID"))))</f>
        <v>HOLD</v>
      </c>
      <c r="Q47" s="3" t="str">
        <f aca="false">IF(B47=FALSE(),"",IF(OR(O47&gt;=72,O47&lt;=32),"High",IF(OR(O47&gt;=62,O47&lt;=42),"Medium","Low")))</f>
        <v>Low</v>
      </c>
      <c r="R47" s="12" t="n">
        <f aca="false">IF(P47="BUY",Control!$B$12,IF(P47="ACCUMULATE",Control!$B$13,0))</f>
        <v>0</v>
      </c>
      <c r="S47" s="3" t="str">
        <f aca="false">IF(B47=FALSE(),"",IF(T47=C47,"Rich valuation",IF(T47=E47,"Weak growth",IF(T47=F47,"Balance-sheet leverage",IF(T47=I47,"Negative momentum","High volatility/drawdown")))))</f>
        <v>Rich valuation</v>
      </c>
      <c r="T47" s="3" t="n">
        <f aca="false">MIN(C47,E47,F47,I47,J47)</f>
        <v>50</v>
      </c>
      <c r="U47" s="3" t="n">
        <f aca="false">IF(B47=TRUE(),N47,-1000+ROW()/1000000)</f>
        <v>50.700047</v>
      </c>
    </row>
    <row r="48" customFormat="false" ht="15" hidden="false" customHeight="false" outlineLevel="0" collapsed="false">
      <c r="A48" s="7" t="str">
        <f aca="false">Tickers!A48</f>
        <v>TIINDIA</v>
      </c>
      <c r="B48" s="19" t="b">
        <f aca="false">Tickers!F48</f>
        <v>1</v>
      </c>
      <c r="C48" s="5" t="n">
        <f aca="false">AVERAGE(IF(NOT(ISNUMBER(Fundamentals!C48)),50,IF(Fundamentals!C48&lt;=0,15,100*(1-(SUMPRODUCT(($B$2:$B$151=TRUE())*ISNUMBER(Fundamentals!$C$2:$C$151)*(Fundamentals!$C$2:$C$151&gt;0)*(Fundamentals!$C$2:$C$151&lt;Fundamentals!C48))/MAX(1,SUMPRODUCT(($B$2:$B$151=TRUE())*ISNUMBER(Fundamentals!$C$2:$C$151)*(Fundamentals!$C$2:$C$151&gt;0))))))),IF(NOT(ISNUMBER(Fundamentals!E48)),50,IF(Fundamentals!E48&lt;=0,15,100*(1-(SUMPRODUCT(($B$2:$B$151=TRUE())*ISNUMBER(Fundamentals!$E$2:$E$151)*(Fundamentals!$E$2:$E$151&gt;0)*(Fundamentals!$E$2:$E$151&lt;Fundamentals!E48))/MAX(1,SUMPRODUCT(($B$2:$B$151=TRUE())*ISNUMBER(Fundamentals!$E$2:$E$151)*(Fundamentals!$E$2:$E$151&gt;0))))))))</f>
        <v>50</v>
      </c>
      <c r="D48" s="5" t="n">
        <f aca="false">AVERAGE(IF(NOT(ISNUMBER(Fundamentals!F48)),50,100*(SUMPRODUCT(($B$2:$B$151=TRUE())*ISNUMBER(Fundamentals!$F$2:$F$151)*(Fundamentals!$F$2:$F$151&lt;Fundamentals!F48))/MAX(1,SUMPRODUCT(($B$2:$B$151=TRUE())*ISNUMBER(Fundamentals!$F$2:$F$151))))),IF(NOT(ISNUMBER(Fundamentals!J48)),50,100*(SUMPRODUCT(($B$2:$B$151=TRUE())*ISNUMBER(Fundamentals!$J$2:$J$151)*(Fundamentals!$J$2:$J$151&lt;Fundamentals!J48))/MAX(1,SUMPRODUCT(($B$2:$B$151=TRUE())*ISNUMBER(Fundamentals!$J$2:$J$151))))))</f>
        <v>50</v>
      </c>
      <c r="E48" s="5" t="n">
        <f aca="false">AVERAGE(IF(NOT(ISNUMBER(Fundamentals!H48)),50,100*(SUMPRODUCT(($B$2:$B$151=TRUE())*ISNUMBER(Fundamentals!$H$2:$H$151)*(Fundamentals!$H$2:$H$151&lt;Fundamentals!H48))/MAX(1,SUMPRODUCT(($B$2:$B$151=TRUE())*ISNUMBER(Fundamentals!$H$2:$H$151))))),IF(NOT(ISNUMBER(Fundamentals!I48)),50,100*(SUMPRODUCT(($B$2:$B$151=TRUE())*ISNUMBER(Fundamentals!$I$2:$I$151)*(Fundamentals!$I$2:$I$151&lt;Fundamentals!I48))/MAX(1,SUMPRODUCT(($B$2:$B$151=TRUE())*ISNUMBER(Fundamentals!$I$2:$I$151))))))</f>
        <v>50</v>
      </c>
      <c r="F48" s="5" t="n">
        <f aca="false">IF(Tickers!C48="Financial Services",50,IF(NOT(ISNUMBER(Fundamentals!G48)),50,100*(1-(SUMPRODUCT(($B$2:$B$151=TRUE())*ISNUMBER(Fundamentals!$G$2:$G$151)*(Fundamentals!$G$2:$G$151&lt;Fundamentals!G48))/MAX(1,SUMPRODUCT(($B$2:$B$151=TRUE())*ISNUMBER(Fundamentals!$G$2:$G$151)))))))</f>
        <v>50</v>
      </c>
      <c r="G48" s="5" t="n">
        <f aca="false">AVERAGE(C48:F48)</f>
        <v>50</v>
      </c>
      <c r="H48" s="5" t="n">
        <f aca="false">MIN(100,MAX(0,IF(NOT(ISNUMBER(PriceMetrics!K48)),50,100*(SUMPRODUCT(($B$2:$B$151=TRUE())*ISNUMBER(PriceMetrics!$K$2:$K$151)*(PriceMetrics!$K$2:$K$151&lt;PriceMetrics!K48))/MAX(1,SUMPRODUCT(($B$2:$B$151=TRUE())*ISNUMBER(PriceMetrics!$K$2:$K$151)))))+IF(ISNUMBER(PriceMetrics!L48),10*PriceMetrics!L48,0)))</f>
        <v>50</v>
      </c>
      <c r="I48" s="5" t="n">
        <f aca="false">0.6*IF(NOT(ISNUMBER(PriceMetrics!P48)),50,100*(SUMPRODUCT(($B$2:$B$151=TRUE())*ISNUMBER(PriceMetrics!$P$2:$P$151)*(PriceMetrics!$P$2:$P$151&lt;PriceMetrics!P48))/MAX(1,SUMPRODUCT(($B$2:$B$151=TRUE())*ISNUMBER(PriceMetrics!$P$2:$P$151)))))+0.4*IF(NOT(ISNUMBER(PriceMetrics!H48)),50,IF(PriceMetrics!H48&gt;70,40,IF(PriceMetrics!H48&gt;=50,100,IF(PriceMetrics!H48&gt;=35,60,30))))</f>
        <v>50</v>
      </c>
      <c r="J48" s="5" t="n">
        <f aca="false">AVERAGE(IF(NOT(ISNUMBER(PriceMetrics!F48)),50,100*(1-(SUMPRODUCT(($B$2:$B$151=TRUE())*ISNUMBER(PriceMetrics!$F$2:$F$151)*(PriceMetrics!$F$2:$F$151&lt;PriceMetrics!F48))/MAX(1,SUMPRODUCT(($B$2:$B$151=TRUE())*ISNUMBER(PriceMetrics!$F$2:$F$151)))))),IF(NOT(ISNUMBER(PriceMetrics!G48)),50,100*(1-(SUMPRODUCT(($B$2:$B$151=TRUE())*ISNUMBER(PriceMetrics!$G$2:$G$151)*(ABS(PriceMetrics!$G$2:$G$151)&lt;ABS(PriceMetrics!G48)))/MAX(1,SUMPRODUCT(($B$2:$B$151=TRUE())*ISNUMBER(PriceMetrics!$G$2:$G$151)))))))</f>
        <v>50</v>
      </c>
      <c r="K48" s="5" t="n">
        <f aca="false">AVERAGE(H48:J48)</f>
        <v>50</v>
      </c>
      <c r="L48" s="8" t="n">
        <f aca="false">Macro!$B$26</f>
        <v>53.5</v>
      </c>
      <c r="M48" s="5" t="n">
        <f aca="false">Control!$B$3*100*G48/100+Control!$B$4*K48+Control!$B$5*L48</f>
        <v>50.7</v>
      </c>
      <c r="N48" s="3" t="n">
        <f aca="false">M48+ROW()/1000000</f>
        <v>50.700048</v>
      </c>
      <c r="O48" s="5" t="n">
        <f aca="false">M48-IF(AND(Tickers!D48="SMALLCAP100",Macro!$B$26&lt;40),Control!$B$11,0)</f>
        <v>50.7</v>
      </c>
      <c r="P48" s="3" t="str">
        <f aca="false">IF(B48=FALSE(),"-",IF(O48&gt;=Control!$B$7,"BUY",IF(O48&gt;=Control!$B$8,"ACCUMULATE",IF(O48&gt;=Control!$B$9,"HOLD","AVOID"))))</f>
        <v>HOLD</v>
      </c>
      <c r="Q48" s="3" t="str">
        <f aca="false">IF(B48=FALSE(),"",IF(OR(O48&gt;=72,O48&lt;=32),"High",IF(OR(O48&gt;=62,O48&lt;=42),"Medium","Low")))</f>
        <v>Low</v>
      </c>
      <c r="R48" s="12" t="n">
        <f aca="false">IF(P48="BUY",Control!$B$12,IF(P48="ACCUMULATE",Control!$B$13,0))</f>
        <v>0</v>
      </c>
      <c r="S48" s="3" t="str">
        <f aca="false">IF(B48=FALSE(),"",IF(T48=C48,"Rich valuation",IF(T48=E48,"Weak growth",IF(T48=F48,"Balance-sheet leverage",IF(T48=I48,"Negative momentum","High volatility/drawdown")))))</f>
        <v>Rich valuation</v>
      </c>
      <c r="T48" s="3" t="n">
        <f aca="false">MIN(C48,E48,F48,I48,J48)</f>
        <v>50</v>
      </c>
      <c r="U48" s="3" t="n">
        <f aca="false">IF(B48=TRUE(),N48,-1000+ROW()/1000000)</f>
        <v>50.700048</v>
      </c>
    </row>
    <row r="49" customFormat="false" ht="15" hidden="false" customHeight="false" outlineLevel="0" collapsed="false">
      <c r="A49" s="7" t="str">
        <f aca="false">Tickers!A49</f>
        <v>UPL</v>
      </c>
      <c r="B49" s="19" t="b">
        <f aca="false">Tickers!F49</f>
        <v>1</v>
      </c>
      <c r="C49" s="5" t="n">
        <f aca="false">AVERAGE(IF(NOT(ISNUMBER(Fundamentals!C49)),50,IF(Fundamentals!C49&lt;=0,15,100*(1-(SUMPRODUCT(($B$2:$B$151=TRUE())*ISNUMBER(Fundamentals!$C$2:$C$151)*(Fundamentals!$C$2:$C$151&gt;0)*(Fundamentals!$C$2:$C$151&lt;Fundamentals!C49))/MAX(1,SUMPRODUCT(($B$2:$B$151=TRUE())*ISNUMBER(Fundamentals!$C$2:$C$151)*(Fundamentals!$C$2:$C$151&gt;0))))))),IF(NOT(ISNUMBER(Fundamentals!E49)),50,IF(Fundamentals!E49&lt;=0,15,100*(1-(SUMPRODUCT(($B$2:$B$151=TRUE())*ISNUMBER(Fundamentals!$E$2:$E$151)*(Fundamentals!$E$2:$E$151&gt;0)*(Fundamentals!$E$2:$E$151&lt;Fundamentals!E49))/MAX(1,SUMPRODUCT(($B$2:$B$151=TRUE())*ISNUMBER(Fundamentals!$E$2:$E$151)*(Fundamentals!$E$2:$E$151&gt;0))))))))</f>
        <v>50</v>
      </c>
      <c r="D49" s="5" t="n">
        <f aca="false">AVERAGE(IF(NOT(ISNUMBER(Fundamentals!F49)),50,100*(SUMPRODUCT(($B$2:$B$151=TRUE())*ISNUMBER(Fundamentals!$F$2:$F$151)*(Fundamentals!$F$2:$F$151&lt;Fundamentals!F49))/MAX(1,SUMPRODUCT(($B$2:$B$151=TRUE())*ISNUMBER(Fundamentals!$F$2:$F$151))))),IF(NOT(ISNUMBER(Fundamentals!J49)),50,100*(SUMPRODUCT(($B$2:$B$151=TRUE())*ISNUMBER(Fundamentals!$J$2:$J$151)*(Fundamentals!$J$2:$J$151&lt;Fundamentals!J49))/MAX(1,SUMPRODUCT(($B$2:$B$151=TRUE())*ISNUMBER(Fundamentals!$J$2:$J$151))))))</f>
        <v>50</v>
      </c>
      <c r="E49" s="5" t="n">
        <f aca="false">AVERAGE(IF(NOT(ISNUMBER(Fundamentals!H49)),50,100*(SUMPRODUCT(($B$2:$B$151=TRUE())*ISNUMBER(Fundamentals!$H$2:$H$151)*(Fundamentals!$H$2:$H$151&lt;Fundamentals!H49))/MAX(1,SUMPRODUCT(($B$2:$B$151=TRUE())*ISNUMBER(Fundamentals!$H$2:$H$151))))),IF(NOT(ISNUMBER(Fundamentals!I49)),50,100*(SUMPRODUCT(($B$2:$B$151=TRUE())*ISNUMBER(Fundamentals!$I$2:$I$151)*(Fundamentals!$I$2:$I$151&lt;Fundamentals!I49))/MAX(1,SUMPRODUCT(($B$2:$B$151=TRUE())*ISNUMBER(Fundamentals!$I$2:$I$151))))))</f>
        <v>50</v>
      </c>
      <c r="F49" s="5" t="n">
        <f aca="false">IF(Tickers!C49="Financial Services",50,IF(NOT(ISNUMBER(Fundamentals!G49)),50,100*(1-(SUMPRODUCT(($B$2:$B$151=TRUE())*ISNUMBER(Fundamentals!$G$2:$G$151)*(Fundamentals!$G$2:$G$151&lt;Fundamentals!G49))/MAX(1,SUMPRODUCT(($B$2:$B$151=TRUE())*ISNUMBER(Fundamentals!$G$2:$G$151)))))))</f>
        <v>50</v>
      </c>
      <c r="G49" s="5" t="n">
        <f aca="false">AVERAGE(C49:F49)</f>
        <v>50</v>
      </c>
      <c r="H49" s="5" t="n">
        <f aca="false">MIN(100,MAX(0,IF(NOT(ISNUMBER(PriceMetrics!K49)),50,100*(SUMPRODUCT(($B$2:$B$151=TRUE())*ISNUMBER(PriceMetrics!$K$2:$K$151)*(PriceMetrics!$K$2:$K$151&lt;PriceMetrics!K49))/MAX(1,SUMPRODUCT(($B$2:$B$151=TRUE())*ISNUMBER(PriceMetrics!$K$2:$K$151)))))+IF(ISNUMBER(PriceMetrics!L49),10*PriceMetrics!L49,0)))</f>
        <v>50</v>
      </c>
      <c r="I49" s="5" t="n">
        <f aca="false">0.6*IF(NOT(ISNUMBER(PriceMetrics!P49)),50,100*(SUMPRODUCT(($B$2:$B$151=TRUE())*ISNUMBER(PriceMetrics!$P$2:$P$151)*(PriceMetrics!$P$2:$P$151&lt;PriceMetrics!P49))/MAX(1,SUMPRODUCT(($B$2:$B$151=TRUE())*ISNUMBER(PriceMetrics!$P$2:$P$151)))))+0.4*IF(NOT(ISNUMBER(PriceMetrics!H49)),50,IF(PriceMetrics!H49&gt;70,40,IF(PriceMetrics!H49&gt;=50,100,IF(PriceMetrics!H49&gt;=35,60,30))))</f>
        <v>50</v>
      </c>
      <c r="J49" s="5" t="n">
        <f aca="false">AVERAGE(IF(NOT(ISNUMBER(PriceMetrics!F49)),50,100*(1-(SUMPRODUCT(($B$2:$B$151=TRUE())*ISNUMBER(PriceMetrics!$F$2:$F$151)*(PriceMetrics!$F$2:$F$151&lt;PriceMetrics!F49))/MAX(1,SUMPRODUCT(($B$2:$B$151=TRUE())*ISNUMBER(PriceMetrics!$F$2:$F$151)))))),IF(NOT(ISNUMBER(PriceMetrics!G49)),50,100*(1-(SUMPRODUCT(($B$2:$B$151=TRUE())*ISNUMBER(PriceMetrics!$G$2:$G$151)*(ABS(PriceMetrics!$G$2:$G$151)&lt;ABS(PriceMetrics!G49)))/MAX(1,SUMPRODUCT(($B$2:$B$151=TRUE())*ISNUMBER(PriceMetrics!$G$2:$G$151)))))))</f>
        <v>50</v>
      </c>
      <c r="K49" s="5" t="n">
        <f aca="false">AVERAGE(H49:J49)</f>
        <v>50</v>
      </c>
      <c r="L49" s="8" t="n">
        <f aca="false">Macro!$B$26</f>
        <v>53.5</v>
      </c>
      <c r="M49" s="5" t="n">
        <f aca="false">Control!$B$3*100*G49/100+Control!$B$4*K49+Control!$B$5*L49</f>
        <v>50.7</v>
      </c>
      <c r="N49" s="3" t="n">
        <f aca="false">M49+ROW()/1000000</f>
        <v>50.700049</v>
      </c>
      <c r="O49" s="5" t="n">
        <f aca="false">M49-IF(AND(Tickers!D49="SMALLCAP100",Macro!$B$26&lt;40),Control!$B$11,0)</f>
        <v>50.7</v>
      </c>
      <c r="P49" s="3" t="str">
        <f aca="false">IF(B49=FALSE(),"-",IF(O49&gt;=Control!$B$7,"BUY",IF(O49&gt;=Control!$B$8,"ACCUMULATE",IF(O49&gt;=Control!$B$9,"HOLD","AVOID"))))</f>
        <v>HOLD</v>
      </c>
      <c r="Q49" s="3" t="str">
        <f aca="false">IF(B49=FALSE(),"",IF(OR(O49&gt;=72,O49&lt;=32),"High",IF(OR(O49&gt;=62,O49&lt;=42),"Medium","Low")))</f>
        <v>Low</v>
      </c>
      <c r="R49" s="12" t="n">
        <f aca="false">IF(P49="BUY",Control!$B$12,IF(P49="ACCUMULATE",Control!$B$13,0))</f>
        <v>0</v>
      </c>
      <c r="S49" s="3" t="str">
        <f aca="false">IF(B49=FALSE(),"",IF(T49=C49,"Rich valuation",IF(T49=E49,"Weak growth",IF(T49=F49,"Balance-sheet leverage",IF(T49=I49,"Negative momentum","High volatility/drawdown")))))</f>
        <v>Rich valuation</v>
      </c>
      <c r="T49" s="3" t="n">
        <f aca="false">MIN(C49,E49,F49,I49,J49)</f>
        <v>50</v>
      </c>
      <c r="U49" s="3" t="n">
        <f aca="false">IF(B49=TRUE(),N49,-1000+ROW()/1000000)</f>
        <v>50.700049</v>
      </c>
    </row>
    <row r="50" customFormat="false" ht="15" hidden="false" customHeight="false" outlineLevel="0" collapsed="false">
      <c r="A50" s="7" t="str">
        <f aca="false">Tickers!A50</f>
        <v>WAAREEENER</v>
      </c>
      <c r="B50" s="19" t="b">
        <f aca="false">Tickers!F50</f>
        <v>1</v>
      </c>
      <c r="C50" s="5" t="n">
        <f aca="false">AVERAGE(IF(NOT(ISNUMBER(Fundamentals!C50)),50,IF(Fundamentals!C50&lt;=0,15,100*(1-(SUMPRODUCT(($B$2:$B$151=TRUE())*ISNUMBER(Fundamentals!$C$2:$C$151)*(Fundamentals!$C$2:$C$151&gt;0)*(Fundamentals!$C$2:$C$151&lt;Fundamentals!C50))/MAX(1,SUMPRODUCT(($B$2:$B$151=TRUE())*ISNUMBER(Fundamentals!$C$2:$C$151)*(Fundamentals!$C$2:$C$151&gt;0))))))),IF(NOT(ISNUMBER(Fundamentals!E50)),50,IF(Fundamentals!E50&lt;=0,15,100*(1-(SUMPRODUCT(($B$2:$B$151=TRUE())*ISNUMBER(Fundamentals!$E$2:$E$151)*(Fundamentals!$E$2:$E$151&gt;0)*(Fundamentals!$E$2:$E$151&lt;Fundamentals!E50))/MAX(1,SUMPRODUCT(($B$2:$B$151=TRUE())*ISNUMBER(Fundamentals!$E$2:$E$151)*(Fundamentals!$E$2:$E$151&gt;0))))))))</f>
        <v>50</v>
      </c>
      <c r="D50" s="5" t="n">
        <f aca="false">AVERAGE(IF(NOT(ISNUMBER(Fundamentals!F50)),50,100*(SUMPRODUCT(($B$2:$B$151=TRUE())*ISNUMBER(Fundamentals!$F$2:$F$151)*(Fundamentals!$F$2:$F$151&lt;Fundamentals!F50))/MAX(1,SUMPRODUCT(($B$2:$B$151=TRUE())*ISNUMBER(Fundamentals!$F$2:$F$151))))),IF(NOT(ISNUMBER(Fundamentals!J50)),50,100*(SUMPRODUCT(($B$2:$B$151=TRUE())*ISNUMBER(Fundamentals!$J$2:$J$151)*(Fundamentals!$J$2:$J$151&lt;Fundamentals!J50))/MAX(1,SUMPRODUCT(($B$2:$B$151=TRUE())*ISNUMBER(Fundamentals!$J$2:$J$151))))))</f>
        <v>50</v>
      </c>
      <c r="E50" s="5" t="n">
        <f aca="false">AVERAGE(IF(NOT(ISNUMBER(Fundamentals!H50)),50,100*(SUMPRODUCT(($B$2:$B$151=TRUE())*ISNUMBER(Fundamentals!$H$2:$H$151)*(Fundamentals!$H$2:$H$151&lt;Fundamentals!H50))/MAX(1,SUMPRODUCT(($B$2:$B$151=TRUE())*ISNUMBER(Fundamentals!$H$2:$H$151))))),IF(NOT(ISNUMBER(Fundamentals!I50)),50,100*(SUMPRODUCT(($B$2:$B$151=TRUE())*ISNUMBER(Fundamentals!$I$2:$I$151)*(Fundamentals!$I$2:$I$151&lt;Fundamentals!I50))/MAX(1,SUMPRODUCT(($B$2:$B$151=TRUE())*ISNUMBER(Fundamentals!$I$2:$I$151))))))</f>
        <v>50</v>
      </c>
      <c r="F50" s="5" t="n">
        <f aca="false">IF(Tickers!C50="Financial Services",50,IF(NOT(ISNUMBER(Fundamentals!G50)),50,100*(1-(SUMPRODUCT(($B$2:$B$151=TRUE())*ISNUMBER(Fundamentals!$G$2:$G$151)*(Fundamentals!$G$2:$G$151&lt;Fundamentals!G50))/MAX(1,SUMPRODUCT(($B$2:$B$151=TRUE())*ISNUMBER(Fundamentals!$G$2:$G$151)))))))</f>
        <v>50</v>
      </c>
      <c r="G50" s="5" t="n">
        <f aca="false">AVERAGE(C50:F50)</f>
        <v>50</v>
      </c>
      <c r="H50" s="5" t="n">
        <f aca="false">MIN(100,MAX(0,IF(NOT(ISNUMBER(PriceMetrics!K50)),50,100*(SUMPRODUCT(($B$2:$B$151=TRUE())*ISNUMBER(PriceMetrics!$K$2:$K$151)*(PriceMetrics!$K$2:$K$151&lt;PriceMetrics!K50))/MAX(1,SUMPRODUCT(($B$2:$B$151=TRUE())*ISNUMBER(PriceMetrics!$K$2:$K$151)))))+IF(ISNUMBER(PriceMetrics!L50),10*PriceMetrics!L50,0)))</f>
        <v>50</v>
      </c>
      <c r="I50" s="5" t="n">
        <f aca="false">0.6*IF(NOT(ISNUMBER(PriceMetrics!P50)),50,100*(SUMPRODUCT(($B$2:$B$151=TRUE())*ISNUMBER(PriceMetrics!$P$2:$P$151)*(PriceMetrics!$P$2:$P$151&lt;PriceMetrics!P50))/MAX(1,SUMPRODUCT(($B$2:$B$151=TRUE())*ISNUMBER(PriceMetrics!$P$2:$P$151)))))+0.4*IF(NOT(ISNUMBER(PriceMetrics!H50)),50,IF(PriceMetrics!H50&gt;70,40,IF(PriceMetrics!H50&gt;=50,100,IF(PriceMetrics!H50&gt;=35,60,30))))</f>
        <v>50</v>
      </c>
      <c r="J50" s="5" t="n">
        <f aca="false">AVERAGE(IF(NOT(ISNUMBER(PriceMetrics!F50)),50,100*(1-(SUMPRODUCT(($B$2:$B$151=TRUE())*ISNUMBER(PriceMetrics!$F$2:$F$151)*(PriceMetrics!$F$2:$F$151&lt;PriceMetrics!F50))/MAX(1,SUMPRODUCT(($B$2:$B$151=TRUE())*ISNUMBER(PriceMetrics!$F$2:$F$151)))))),IF(NOT(ISNUMBER(PriceMetrics!G50)),50,100*(1-(SUMPRODUCT(($B$2:$B$151=TRUE())*ISNUMBER(PriceMetrics!$G$2:$G$151)*(ABS(PriceMetrics!$G$2:$G$151)&lt;ABS(PriceMetrics!G50)))/MAX(1,SUMPRODUCT(($B$2:$B$151=TRUE())*ISNUMBER(PriceMetrics!$G$2:$G$151)))))))</f>
        <v>50</v>
      </c>
      <c r="K50" s="5" t="n">
        <f aca="false">AVERAGE(H50:J50)</f>
        <v>50</v>
      </c>
      <c r="L50" s="8" t="n">
        <f aca="false">Macro!$B$26</f>
        <v>53.5</v>
      </c>
      <c r="M50" s="5" t="n">
        <f aca="false">Control!$B$3*100*G50/100+Control!$B$4*K50+Control!$B$5*L50</f>
        <v>50.7</v>
      </c>
      <c r="N50" s="3" t="n">
        <f aca="false">M50+ROW()/1000000</f>
        <v>50.70005</v>
      </c>
      <c r="O50" s="5" t="n">
        <f aca="false">M50-IF(AND(Tickers!D50="SMALLCAP100",Macro!$B$26&lt;40),Control!$B$11,0)</f>
        <v>50.7</v>
      </c>
      <c r="P50" s="3" t="str">
        <f aca="false">IF(B50=FALSE(),"-",IF(O50&gt;=Control!$B$7,"BUY",IF(O50&gt;=Control!$B$8,"ACCUMULATE",IF(O50&gt;=Control!$B$9,"HOLD","AVOID"))))</f>
        <v>HOLD</v>
      </c>
      <c r="Q50" s="3" t="str">
        <f aca="false">IF(B50=FALSE(),"",IF(OR(O50&gt;=72,O50&lt;=32),"High",IF(OR(O50&gt;=62,O50&lt;=42),"Medium","Low")))</f>
        <v>Low</v>
      </c>
      <c r="R50" s="12" t="n">
        <f aca="false">IF(P50="BUY",Control!$B$12,IF(P50="ACCUMULATE",Control!$B$13,0))</f>
        <v>0</v>
      </c>
      <c r="S50" s="3" t="str">
        <f aca="false">IF(B50=FALSE(),"",IF(T50=C50,"Rich valuation",IF(T50=E50,"Weak growth",IF(T50=F50,"Balance-sheet leverage",IF(T50=I50,"Negative momentum","High volatility/drawdown")))))</f>
        <v>Rich valuation</v>
      </c>
      <c r="T50" s="3" t="n">
        <f aca="false">MIN(C50,E50,F50,I50,J50)</f>
        <v>50</v>
      </c>
      <c r="U50" s="3" t="n">
        <f aca="false">IF(B50=TRUE(),N50,-1000+ROW()/1000000)</f>
        <v>50.70005</v>
      </c>
    </row>
    <row r="51" customFormat="false" ht="15" hidden="false" customHeight="false" outlineLevel="0" collapsed="false">
      <c r="A51" s="7" t="str">
        <f aca="false">Tickers!A51</f>
        <v>YESBANK</v>
      </c>
      <c r="B51" s="19" t="b">
        <f aca="false">Tickers!F51</f>
        <v>1</v>
      </c>
      <c r="C51" s="5" t="n">
        <f aca="false">AVERAGE(IF(NOT(ISNUMBER(Fundamentals!C51)),50,IF(Fundamentals!C51&lt;=0,15,100*(1-(SUMPRODUCT(($B$2:$B$151=TRUE())*ISNUMBER(Fundamentals!$C$2:$C$151)*(Fundamentals!$C$2:$C$151&gt;0)*(Fundamentals!$C$2:$C$151&lt;Fundamentals!C51))/MAX(1,SUMPRODUCT(($B$2:$B$151=TRUE())*ISNUMBER(Fundamentals!$C$2:$C$151)*(Fundamentals!$C$2:$C$151&gt;0))))))),IF(NOT(ISNUMBER(Fundamentals!E51)),50,IF(Fundamentals!E51&lt;=0,15,100*(1-(SUMPRODUCT(($B$2:$B$151=TRUE())*ISNUMBER(Fundamentals!$E$2:$E$151)*(Fundamentals!$E$2:$E$151&gt;0)*(Fundamentals!$E$2:$E$151&lt;Fundamentals!E51))/MAX(1,SUMPRODUCT(($B$2:$B$151=TRUE())*ISNUMBER(Fundamentals!$E$2:$E$151)*(Fundamentals!$E$2:$E$151&gt;0))))))))</f>
        <v>50</v>
      </c>
      <c r="D51" s="5" t="n">
        <f aca="false">AVERAGE(IF(NOT(ISNUMBER(Fundamentals!F51)),50,100*(SUMPRODUCT(($B$2:$B$151=TRUE())*ISNUMBER(Fundamentals!$F$2:$F$151)*(Fundamentals!$F$2:$F$151&lt;Fundamentals!F51))/MAX(1,SUMPRODUCT(($B$2:$B$151=TRUE())*ISNUMBER(Fundamentals!$F$2:$F$151))))),IF(NOT(ISNUMBER(Fundamentals!J51)),50,100*(SUMPRODUCT(($B$2:$B$151=TRUE())*ISNUMBER(Fundamentals!$J$2:$J$151)*(Fundamentals!$J$2:$J$151&lt;Fundamentals!J51))/MAX(1,SUMPRODUCT(($B$2:$B$151=TRUE())*ISNUMBER(Fundamentals!$J$2:$J$151))))))</f>
        <v>50</v>
      </c>
      <c r="E51" s="5" t="n">
        <f aca="false">AVERAGE(IF(NOT(ISNUMBER(Fundamentals!H51)),50,100*(SUMPRODUCT(($B$2:$B$151=TRUE())*ISNUMBER(Fundamentals!$H$2:$H$151)*(Fundamentals!$H$2:$H$151&lt;Fundamentals!H51))/MAX(1,SUMPRODUCT(($B$2:$B$151=TRUE())*ISNUMBER(Fundamentals!$H$2:$H$151))))),IF(NOT(ISNUMBER(Fundamentals!I51)),50,100*(SUMPRODUCT(($B$2:$B$151=TRUE())*ISNUMBER(Fundamentals!$I$2:$I$151)*(Fundamentals!$I$2:$I$151&lt;Fundamentals!I51))/MAX(1,SUMPRODUCT(($B$2:$B$151=TRUE())*ISNUMBER(Fundamentals!$I$2:$I$151))))))</f>
        <v>50</v>
      </c>
      <c r="F51" s="5" t="n">
        <f aca="false">IF(Tickers!C51="Financial Services",50,IF(NOT(ISNUMBER(Fundamentals!G51)),50,100*(1-(SUMPRODUCT(($B$2:$B$151=TRUE())*ISNUMBER(Fundamentals!$G$2:$G$151)*(Fundamentals!$G$2:$G$151&lt;Fundamentals!G51))/MAX(1,SUMPRODUCT(($B$2:$B$151=TRUE())*ISNUMBER(Fundamentals!$G$2:$G$151)))))))</f>
        <v>50</v>
      </c>
      <c r="G51" s="5" t="n">
        <f aca="false">AVERAGE(C51:F51)</f>
        <v>50</v>
      </c>
      <c r="H51" s="5" t="n">
        <f aca="false">MIN(100,MAX(0,IF(NOT(ISNUMBER(PriceMetrics!K51)),50,100*(SUMPRODUCT(($B$2:$B$151=TRUE())*ISNUMBER(PriceMetrics!$K$2:$K$151)*(PriceMetrics!$K$2:$K$151&lt;PriceMetrics!K51))/MAX(1,SUMPRODUCT(($B$2:$B$151=TRUE())*ISNUMBER(PriceMetrics!$K$2:$K$151)))))+IF(ISNUMBER(PriceMetrics!L51),10*PriceMetrics!L51,0)))</f>
        <v>50</v>
      </c>
      <c r="I51" s="5" t="n">
        <f aca="false">0.6*IF(NOT(ISNUMBER(PriceMetrics!P51)),50,100*(SUMPRODUCT(($B$2:$B$151=TRUE())*ISNUMBER(PriceMetrics!$P$2:$P$151)*(PriceMetrics!$P$2:$P$151&lt;PriceMetrics!P51))/MAX(1,SUMPRODUCT(($B$2:$B$151=TRUE())*ISNUMBER(PriceMetrics!$P$2:$P$151)))))+0.4*IF(NOT(ISNUMBER(PriceMetrics!H51)),50,IF(PriceMetrics!H51&gt;70,40,IF(PriceMetrics!H51&gt;=50,100,IF(PriceMetrics!H51&gt;=35,60,30))))</f>
        <v>50</v>
      </c>
      <c r="J51" s="5" t="n">
        <f aca="false">AVERAGE(IF(NOT(ISNUMBER(PriceMetrics!F51)),50,100*(1-(SUMPRODUCT(($B$2:$B$151=TRUE())*ISNUMBER(PriceMetrics!$F$2:$F$151)*(PriceMetrics!$F$2:$F$151&lt;PriceMetrics!F51))/MAX(1,SUMPRODUCT(($B$2:$B$151=TRUE())*ISNUMBER(PriceMetrics!$F$2:$F$151)))))),IF(NOT(ISNUMBER(PriceMetrics!G51)),50,100*(1-(SUMPRODUCT(($B$2:$B$151=TRUE())*ISNUMBER(PriceMetrics!$G$2:$G$151)*(ABS(PriceMetrics!$G$2:$G$151)&lt;ABS(PriceMetrics!G51)))/MAX(1,SUMPRODUCT(($B$2:$B$151=TRUE())*ISNUMBER(PriceMetrics!$G$2:$G$151)))))))</f>
        <v>50</v>
      </c>
      <c r="K51" s="5" t="n">
        <f aca="false">AVERAGE(H51:J51)</f>
        <v>50</v>
      </c>
      <c r="L51" s="8" t="n">
        <f aca="false">Macro!$B$26</f>
        <v>53.5</v>
      </c>
      <c r="M51" s="5" t="n">
        <f aca="false">Control!$B$3*100*G51/100+Control!$B$4*K51+Control!$B$5*L51</f>
        <v>50.7</v>
      </c>
      <c r="N51" s="3" t="n">
        <f aca="false">M51+ROW()/1000000</f>
        <v>50.700051</v>
      </c>
      <c r="O51" s="5" t="n">
        <f aca="false">M51-IF(AND(Tickers!D51="SMALLCAP100",Macro!$B$26&lt;40),Control!$B$11,0)</f>
        <v>50.7</v>
      </c>
      <c r="P51" s="3" t="str">
        <f aca="false">IF(B51=FALSE(),"-",IF(O51&gt;=Control!$B$7,"BUY",IF(O51&gt;=Control!$B$8,"ACCUMULATE",IF(O51&gt;=Control!$B$9,"HOLD","AVOID"))))</f>
        <v>HOLD</v>
      </c>
      <c r="Q51" s="3" t="str">
        <f aca="false">IF(B51=FALSE(),"",IF(OR(O51&gt;=72,O51&lt;=32),"High",IF(OR(O51&gt;=62,O51&lt;=42),"Medium","Low")))</f>
        <v>Low</v>
      </c>
      <c r="R51" s="12" t="n">
        <f aca="false">IF(P51="BUY",Control!$B$12,IF(P51="ACCUMULATE",Control!$B$13,0))</f>
        <v>0</v>
      </c>
      <c r="S51" s="3" t="str">
        <f aca="false">IF(B51=FALSE(),"",IF(T51=C51,"Rich valuation",IF(T51=E51,"Weak growth",IF(T51=F51,"Balance-sheet leverage",IF(T51=I51,"Negative momentum","High volatility/drawdown")))))</f>
        <v>Rich valuation</v>
      </c>
      <c r="T51" s="3" t="n">
        <f aca="false">MIN(C51,E51,F51,I51,J51)</f>
        <v>50</v>
      </c>
      <c r="U51" s="3" t="n">
        <f aca="false">IF(B51=TRUE(),N51,-1000+ROW()/1000000)</f>
        <v>50.700051</v>
      </c>
    </row>
    <row r="52" customFormat="false" ht="15" hidden="false" customHeight="false" outlineLevel="0" collapsed="false">
      <c r="A52" s="7" t="str">
        <f aca="false">Tickers!A52</f>
        <v>AARTIIND</v>
      </c>
      <c r="B52" s="19" t="b">
        <f aca="false">Tickers!F52</f>
        <v>0</v>
      </c>
      <c r="C52" s="5" t="n">
        <f aca="false">AVERAGE(IF(NOT(ISNUMBER(Fundamentals!C52)),50,IF(Fundamentals!C52&lt;=0,15,100*(1-(SUMPRODUCT(($B$2:$B$151=TRUE())*ISNUMBER(Fundamentals!$C$2:$C$151)*(Fundamentals!$C$2:$C$151&gt;0)*(Fundamentals!$C$2:$C$151&lt;Fundamentals!C52))/MAX(1,SUMPRODUCT(($B$2:$B$151=TRUE())*ISNUMBER(Fundamentals!$C$2:$C$151)*(Fundamentals!$C$2:$C$151&gt;0))))))),IF(NOT(ISNUMBER(Fundamentals!E52)),50,IF(Fundamentals!E52&lt;=0,15,100*(1-(SUMPRODUCT(($B$2:$B$151=TRUE())*ISNUMBER(Fundamentals!$E$2:$E$151)*(Fundamentals!$E$2:$E$151&gt;0)*(Fundamentals!$E$2:$E$151&lt;Fundamentals!E52))/MAX(1,SUMPRODUCT(($B$2:$B$151=TRUE())*ISNUMBER(Fundamentals!$E$2:$E$151)*(Fundamentals!$E$2:$E$151&gt;0))))))))</f>
        <v>50</v>
      </c>
      <c r="D52" s="5" t="n">
        <f aca="false">AVERAGE(IF(NOT(ISNUMBER(Fundamentals!F52)),50,100*(SUMPRODUCT(($B$2:$B$151=TRUE())*ISNUMBER(Fundamentals!$F$2:$F$151)*(Fundamentals!$F$2:$F$151&lt;Fundamentals!F52))/MAX(1,SUMPRODUCT(($B$2:$B$151=TRUE())*ISNUMBER(Fundamentals!$F$2:$F$151))))),IF(NOT(ISNUMBER(Fundamentals!J52)),50,100*(SUMPRODUCT(($B$2:$B$151=TRUE())*ISNUMBER(Fundamentals!$J$2:$J$151)*(Fundamentals!$J$2:$J$151&lt;Fundamentals!J52))/MAX(1,SUMPRODUCT(($B$2:$B$151=TRUE())*ISNUMBER(Fundamentals!$J$2:$J$151))))))</f>
        <v>50</v>
      </c>
      <c r="E52" s="5" t="n">
        <f aca="false">AVERAGE(IF(NOT(ISNUMBER(Fundamentals!H52)),50,100*(SUMPRODUCT(($B$2:$B$151=TRUE())*ISNUMBER(Fundamentals!$H$2:$H$151)*(Fundamentals!$H$2:$H$151&lt;Fundamentals!H52))/MAX(1,SUMPRODUCT(($B$2:$B$151=TRUE())*ISNUMBER(Fundamentals!$H$2:$H$151))))),IF(NOT(ISNUMBER(Fundamentals!I52)),50,100*(SUMPRODUCT(($B$2:$B$151=TRUE())*ISNUMBER(Fundamentals!$I$2:$I$151)*(Fundamentals!$I$2:$I$151&lt;Fundamentals!I52))/MAX(1,SUMPRODUCT(($B$2:$B$151=TRUE())*ISNUMBER(Fundamentals!$I$2:$I$151))))))</f>
        <v>50</v>
      </c>
      <c r="F52" s="5" t="n">
        <f aca="false">IF(Tickers!C52="Financial Services",50,IF(NOT(ISNUMBER(Fundamentals!G52)),50,100*(1-(SUMPRODUCT(($B$2:$B$151=TRUE())*ISNUMBER(Fundamentals!$G$2:$G$151)*(Fundamentals!$G$2:$G$151&lt;Fundamentals!G52))/MAX(1,SUMPRODUCT(($B$2:$B$151=TRUE())*ISNUMBER(Fundamentals!$G$2:$G$151)))))))</f>
        <v>50</v>
      </c>
      <c r="G52" s="5" t="n">
        <f aca="false">AVERAGE(C52:F52)</f>
        <v>50</v>
      </c>
      <c r="H52" s="5" t="n">
        <f aca="false">MIN(100,MAX(0,IF(NOT(ISNUMBER(PriceMetrics!K52)),50,100*(SUMPRODUCT(($B$2:$B$151=TRUE())*ISNUMBER(PriceMetrics!$K$2:$K$151)*(PriceMetrics!$K$2:$K$151&lt;PriceMetrics!K52))/MAX(1,SUMPRODUCT(($B$2:$B$151=TRUE())*ISNUMBER(PriceMetrics!$K$2:$K$151)))))+IF(ISNUMBER(PriceMetrics!L52),10*PriceMetrics!L52,0)))</f>
        <v>50</v>
      </c>
      <c r="I52" s="5" t="n">
        <f aca="false">0.6*IF(NOT(ISNUMBER(PriceMetrics!P52)),50,100*(SUMPRODUCT(($B$2:$B$151=TRUE())*ISNUMBER(PriceMetrics!$P$2:$P$151)*(PriceMetrics!$P$2:$P$151&lt;PriceMetrics!P52))/MAX(1,SUMPRODUCT(($B$2:$B$151=TRUE())*ISNUMBER(PriceMetrics!$P$2:$P$151)))))+0.4*IF(NOT(ISNUMBER(PriceMetrics!H52)),50,IF(PriceMetrics!H52&gt;70,40,IF(PriceMetrics!H52&gt;=50,100,IF(PriceMetrics!H52&gt;=35,60,30))))</f>
        <v>50</v>
      </c>
      <c r="J52" s="5" t="n">
        <f aca="false">AVERAGE(IF(NOT(ISNUMBER(PriceMetrics!F52)),50,100*(1-(SUMPRODUCT(($B$2:$B$151=TRUE())*ISNUMBER(PriceMetrics!$F$2:$F$151)*(PriceMetrics!$F$2:$F$151&lt;PriceMetrics!F52))/MAX(1,SUMPRODUCT(($B$2:$B$151=TRUE())*ISNUMBER(PriceMetrics!$F$2:$F$151)))))),IF(NOT(ISNUMBER(PriceMetrics!G52)),50,100*(1-(SUMPRODUCT(($B$2:$B$151=TRUE())*ISNUMBER(PriceMetrics!$G$2:$G$151)*(ABS(PriceMetrics!$G$2:$G$151)&lt;ABS(PriceMetrics!G52)))/MAX(1,SUMPRODUCT(($B$2:$B$151=TRUE())*ISNUMBER(PriceMetrics!$G$2:$G$151)))))))</f>
        <v>50</v>
      </c>
      <c r="K52" s="5" t="n">
        <f aca="false">AVERAGE(H52:J52)</f>
        <v>50</v>
      </c>
      <c r="L52" s="8" t="n">
        <f aca="false">Macro!$B$26</f>
        <v>53.5</v>
      </c>
      <c r="M52" s="5" t="n">
        <f aca="false">Control!$B$3*100*G52/100+Control!$B$4*K52+Control!$B$5*L52</f>
        <v>50.7</v>
      </c>
      <c r="N52" s="3" t="n">
        <f aca="false">M52+ROW()/1000000</f>
        <v>50.700052</v>
      </c>
      <c r="O52" s="5" t="n">
        <f aca="false">M52-IF(AND(Tickers!D52="SMALLCAP100",Macro!$B$26&lt;40),Control!$B$11,0)</f>
        <v>50.7</v>
      </c>
      <c r="P52" s="3" t="str">
        <f aca="false">IF(B52=FALSE(),"-",IF(O52&gt;=Control!$B$7,"BUY",IF(O52&gt;=Control!$B$8,"ACCUMULATE",IF(O52&gt;=Control!$B$9,"HOLD","AVOID"))))</f>
        <v>-</v>
      </c>
      <c r="Q52" s="3" t="str">
        <f aca="false">IF(B52=FALSE(),"",IF(OR(O52&gt;=72,O52&lt;=32),"High",IF(OR(O52&gt;=62,O52&lt;=42),"Medium","Low")))</f>
        <v/>
      </c>
      <c r="R52" s="12" t="n">
        <f aca="false">IF(P52="BUY",Control!$B$12,IF(P52="ACCUMULATE",Control!$B$13,0))</f>
        <v>0</v>
      </c>
      <c r="S52" s="3" t="str">
        <f aca="false">IF(B52=FALSE(),"",IF(T52=C52,"Rich valuation",IF(T52=E52,"Weak growth",IF(T52=F52,"Balance-sheet leverage",IF(T52=I52,"Negative momentum","High volatility/drawdown")))))</f>
        <v/>
      </c>
      <c r="T52" s="3" t="n">
        <f aca="false">MIN(C52,E52,F52,I52,J52)</f>
        <v>50</v>
      </c>
      <c r="U52" s="3" t="n">
        <f aca="false">IF(B52=TRUE(),N52,-1000+ROW()/1000000)</f>
        <v>-999.999948</v>
      </c>
    </row>
    <row r="53" customFormat="false" ht="15" hidden="false" customHeight="false" outlineLevel="0" collapsed="false">
      <c r="A53" s="7" t="str">
        <f aca="false">Tickers!A53</f>
        <v>ABREL</v>
      </c>
      <c r="B53" s="19" t="b">
        <f aca="false">Tickers!F53</f>
        <v>0</v>
      </c>
      <c r="C53" s="5" t="n">
        <f aca="false">AVERAGE(IF(NOT(ISNUMBER(Fundamentals!C53)),50,IF(Fundamentals!C53&lt;=0,15,100*(1-(SUMPRODUCT(($B$2:$B$151=TRUE())*ISNUMBER(Fundamentals!$C$2:$C$151)*(Fundamentals!$C$2:$C$151&gt;0)*(Fundamentals!$C$2:$C$151&lt;Fundamentals!C53))/MAX(1,SUMPRODUCT(($B$2:$B$151=TRUE())*ISNUMBER(Fundamentals!$C$2:$C$151)*(Fundamentals!$C$2:$C$151&gt;0))))))),IF(NOT(ISNUMBER(Fundamentals!E53)),50,IF(Fundamentals!E53&lt;=0,15,100*(1-(SUMPRODUCT(($B$2:$B$151=TRUE())*ISNUMBER(Fundamentals!$E$2:$E$151)*(Fundamentals!$E$2:$E$151&gt;0)*(Fundamentals!$E$2:$E$151&lt;Fundamentals!E53))/MAX(1,SUMPRODUCT(($B$2:$B$151=TRUE())*ISNUMBER(Fundamentals!$E$2:$E$151)*(Fundamentals!$E$2:$E$151&gt;0))))))))</f>
        <v>50</v>
      </c>
      <c r="D53" s="5" t="n">
        <f aca="false">AVERAGE(IF(NOT(ISNUMBER(Fundamentals!F53)),50,100*(SUMPRODUCT(($B$2:$B$151=TRUE())*ISNUMBER(Fundamentals!$F$2:$F$151)*(Fundamentals!$F$2:$F$151&lt;Fundamentals!F53))/MAX(1,SUMPRODUCT(($B$2:$B$151=TRUE())*ISNUMBER(Fundamentals!$F$2:$F$151))))),IF(NOT(ISNUMBER(Fundamentals!J53)),50,100*(SUMPRODUCT(($B$2:$B$151=TRUE())*ISNUMBER(Fundamentals!$J$2:$J$151)*(Fundamentals!$J$2:$J$151&lt;Fundamentals!J53))/MAX(1,SUMPRODUCT(($B$2:$B$151=TRUE())*ISNUMBER(Fundamentals!$J$2:$J$151))))))</f>
        <v>50</v>
      </c>
      <c r="E53" s="5" t="n">
        <f aca="false">AVERAGE(IF(NOT(ISNUMBER(Fundamentals!H53)),50,100*(SUMPRODUCT(($B$2:$B$151=TRUE())*ISNUMBER(Fundamentals!$H$2:$H$151)*(Fundamentals!$H$2:$H$151&lt;Fundamentals!H53))/MAX(1,SUMPRODUCT(($B$2:$B$151=TRUE())*ISNUMBER(Fundamentals!$H$2:$H$151))))),IF(NOT(ISNUMBER(Fundamentals!I53)),50,100*(SUMPRODUCT(($B$2:$B$151=TRUE())*ISNUMBER(Fundamentals!$I$2:$I$151)*(Fundamentals!$I$2:$I$151&lt;Fundamentals!I53))/MAX(1,SUMPRODUCT(($B$2:$B$151=TRUE())*ISNUMBER(Fundamentals!$I$2:$I$151))))))</f>
        <v>50</v>
      </c>
      <c r="F53" s="5" t="n">
        <f aca="false">IF(Tickers!C53="Financial Services",50,IF(NOT(ISNUMBER(Fundamentals!G53)),50,100*(1-(SUMPRODUCT(($B$2:$B$151=TRUE())*ISNUMBER(Fundamentals!$G$2:$G$151)*(Fundamentals!$G$2:$G$151&lt;Fundamentals!G53))/MAX(1,SUMPRODUCT(($B$2:$B$151=TRUE())*ISNUMBER(Fundamentals!$G$2:$G$151)))))))</f>
        <v>50</v>
      </c>
      <c r="G53" s="5" t="n">
        <f aca="false">AVERAGE(C53:F53)</f>
        <v>50</v>
      </c>
      <c r="H53" s="5" t="n">
        <f aca="false">MIN(100,MAX(0,IF(NOT(ISNUMBER(PriceMetrics!K53)),50,100*(SUMPRODUCT(($B$2:$B$151=TRUE())*ISNUMBER(PriceMetrics!$K$2:$K$151)*(PriceMetrics!$K$2:$K$151&lt;PriceMetrics!K53))/MAX(1,SUMPRODUCT(($B$2:$B$151=TRUE())*ISNUMBER(PriceMetrics!$K$2:$K$151)))))+IF(ISNUMBER(PriceMetrics!L53),10*PriceMetrics!L53,0)))</f>
        <v>50</v>
      </c>
      <c r="I53" s="5" t="n">
        <f aca="false">0.6*IF(NOT(ISNUMBER(PriceMetrics!P53)),50,100*(SUMPRODUCT(($B$2:$B$151=TRUE())*ISNUMBER(PriceMetrics!$P$2:$P$151)*(PriceMetrics!$P$2:$P$151&lt;PriceMetrics!P53))/MAX(1,SUMPRODUCT(($B$2:$B$151=TRUE())*ISNUMBER(PriceMetrics!$P$2:$P$151)))))+0.4*IF(NOT(ISNUMBER(PriceMetrics!H53)),50,IF(PriceMetrics!H53&gt;70,40,IF(PriceMetrics!H53&gt;=50,100,IF(PriceMetrics!H53&gt;=35,60,30))))</f>
        <v>50</v>
      </c>
      <c r="J53" s="5" t="n">
        <f aca="false">AVERAGE(IF(NOT(ISNUMBER(PriceMetrics!F53)),50,100*(1-(SUMPRODUCT(($B$2:$B$151=TRUE())*ISNUMBER(PriceMetrics!$F$2:$F$151)*(PriceMetrics!$F$2:$F$151&lt;PriceMetrics!F53))/MAX(1,SUMPRODUCT(($B$2:$B$151=TRUE())*ISNUMBER(PriceMetrics!$F$2:$F$151)))))),IF(NOT(ISNUMBER(PriceMetrics!G53)),50,100*(1-(SUMPRODUCT(($B$2:$B$151=TRUE())*ISNUMBER(PriceMetrics!$G$2:$G$151)*(ABS(PriceMetrics!$G$2:$G$151)&lt;ABS(PriceMetrics!G53)))/MAX(1,SUMPRODUCT(($B$2:$B$151=TRUE())*ISNUMBER(PriceMetrics!$G$2:$G$151)))))))</f>
        <v>50</v>
      </c>
      <c r="K53" s="5" t="n">
        <f aca="false">AVERAGE(H53:J53)</f>
        <v>50</v>
      </c>
      <c r="L53" s="8" t="n">
        <f aca="false">Macro!$B$26</f>
        <v>53.5</v>
      </c>
      <c r="M53" s="5" t="n">
        <f aca="false">Control!$B$3*100*G53/100+Control!$B$4*K53+Control!$B$5*L53</f>
        <v>50.7</v>
      </c>
      <c r="N53" s="3" t="n">
        <f aca="false">M53+ROW()/1000000</f>
        <v>50.700053</v>
      </c>
      <c r="O53" s="5" t="n">
        <f aca="false">M53-IF(AND(Tickers!D53="SMALLCAP100",Macro!$B$26&lt;40),Control!$B$11,0)</f>
        <v>50.7</v>
      </c>
      <c r="P53" s="3" t="str">
        <f aca="false">IF(B53=FALSE(),"-",IF(O53&gt;=Control!$B$7,"BUY",IF(O53&gt;=Control!$B$8,"ACCUMULATE",IF(O53&gt;=Control!$B$9,"HOLD","AVOID"))))</f>
        <v>-</v>
      </c>
      <c r="Q53" s="3" t="str">
        <f aca="false">IF(B53=FALSE(),"",IF(OR(O53&gt;=72,O53&lt;=32),"High",IF(OR(O53&gt;=62,O53&lt;=42),"Medium","Low")))</f>
        <v/>
      </c>
      <c r="R53" s="12" t="n">
        <f aca="false">IF(P53="BUY",Control!$B$12,IF(P53="ACCUMULATE",Control!$B$13,0))</f>
        <v>0</v>
      </c>
      <c r="S53" s="3" t="str">
        <f aca="false">IF(B53=FALSE(),"",IF(T53=C53,"Rich valuation",IF(T53=E53,"Weak growth",IF(T53=F53,"Balance-sheet leverage",IF(T53=I53,"Negative momentum","High volatility/drawdown")))))</f>
        <v/>
      </c>
      <c r="T53" s="3" t="n">
        <f aca="false">MIN(C53,E53,F53,I53,J53)</f>
        <v>50</v>
      </c>
      <c r="U53" s="3" t="n">
        <f aca="false">IF(B53=TRUE(),N53,-1000+ROW()/1000000)</f>
        <v>-999.999947</v>
      </c>
    </row>
    <row r="54" customFormat="false" ht="15" hidden="false" customHeight="false" outlineLevel="0" collapsed="false">
      <c r="A54" s="7" t="str">
        <f aca="false">Tickers!A54</f>
        <v>AEGISLOG</v>
      </c>
      <c r="B54" s="19" t="b">
        <f aca="false">Tickers!F54</f>
        <v>0</v>
      </c>
      <c r="C54" s="5" t="n">
        <f aca="false">AVERAGE(IF(NOT(ISNUMBER(Fundamentals!C54)),50,IF(Fundamentals!C54&lt;=0,15,100*(1-(SUMPRODUCT(($B$2:$B$151=TRUE())*ISNUMBER(Fundamentals!$C$2:$C$151)*(Fundamentals!$C$2:$C$151&gt;0)*(Fundamentals!$C$2:$C$151&lt;Fundamentals!C54))/MAX(1,SUMPRODUCT(($B$2:$B$151=TRUE())*ISNUMBER(Fundamentals!$C$2:$C$151)*(Fundamentals!$C$2:$C$151&gt;0))))))),IF(NOT(ISNUMBER(Fundamentals!E54)),50,IF(Fundamentals!E54&lt;=0,15,100*(1-(SUMPRODUCT(($B$2:$B$151=TRUE())*ISNUMBER(Fundamentals!$E$2:$E$151)*(Fundamentals!$E$2:$E$151&gt;0)*(Fundamentals!$E$2:$E$151&lt;Fundamentals!E54))/MAX(1,SUMPRODUCT(($B$2:$B$151=TRUE())*ISNUMBER(Fundamentals!$E$2:$E$151)*(Fundamentals!$E$2:$E$151&gt;0))))))))</f>
        <v>50</v>
      </c>
      <c r="D54" s="5" t="n">
        <f aca="false">AVERAGE(IF(NOT(ISNUMBER(Fundamentals!F54)),50,100*(SUMPRODUCT(($B$2:$B$151=TRUE())*ISNUMBER(Fundamentals!$F$2:$F$151)*(Fundamentals!$F$2:$F$151&lt;Fundamentals!F54))/MAX(1,SUMPRODUCT(($B$2:$B$151=TRUE())*ISNUMBER(Fundamentals!$F$2:$F$151))))),IF(NOT(ISNUMBER(Fundamentals!J54)),50,100*(SUMPRODUCT(($B$2:$B$151=TRUE())*ISNUMBER(Fundamentals!$J$2:$J$151)*(Fundamentals!$J$2:$J$151&lt;Fundamentals!J54))/MAX(1,SUMPRODUCT(($B$2:$B$151=TRUE())*ISNUMBER(Fundamentals!$J$2:$J$151))))))</f>
        <v>50</v>
      </c>
      <c r="E54" s="5" t="n">
        <f aca="false">AVERAGE(IF(NOT(ISNUMBER(Fundamentals!H54)),50,100*(SUMPRODUCT(($B$2:$B$151=TRUE())*ISNUMBER(Fundamentals!$H$2:$H$151)*(Fundamentals!$H$2:$H$151&lt;Fundamentals!H54))/MAX(1,SUMPRODUCT(($B$2:$B$151=TRUE())*ISNUMBER(Fundamentals!$H$2:$H$151))))),IF(NOT(ISNUMBER(Fundamentals!I54)),50,100*(SUMPRODUCT(($B$2:$B$151=TRUE())*ISNUMBER(Fundamentals!$I$2:$I$151)*(Fundamentals!$I$2:$I$151&lt;Fundamentals!I54))/MAX(1,SUMPRODUCT(($B$2:$B$151=TRUE())*ISNUMBER(Fundamentals!$I$2:$I$151))))))</f>
        <v>50</v>
      </c>
      <c r="F54" s="5" t="n">
        <f aca="false">IF(Tickers!C54="Financial Services",50,IF(NOT(ISNUMBER(Fundamentals!G54)),50,100*(1-(SUMPRODUCT(($B$2:$B$151=TRUE())*ISNUMBER(Fundamentals!$G$2:$G$151)*(Fundamentals!$G$2:$G$151&lt;Fundamentals!G54))/MAX(1,SUMPRODUCT(($B$2:$B$151=TRUE())*ISNUMBER(Fundamentals!$G$2:$G$151)))))))</f>
        <v>50</v>
      </c>
      <c r="G54" s="5" t="n">
        <f aca="false">AVERAGE(C54:F54)</f>
        <v>50</v>
      </c>
      <c r="H54" s="5" t="n">
        <f aca="false">MIN(100,MAX(0,IF(NOT(ISNUMBER(PriceMetrics!K54)),50,100*(SUMPRODUCT(($B$2:$B$151=TRUE())*ISNUMBER(PriceMetrics!$K$2:$K$151)*(PriceMetrics!$K$2:$K$151&lt;PriceMetrics!K54))/MAX(1,SUMPRODUCT(($B$2:$B$151=TRUE())*ISNUMBER(PriceMetrics!$K$2:$K$151)))))+IF(ISNUMBER(PriceMetrics!L54),10*PriceMetrics!L54,0)))</f>
        <v>50</v>
      </c>
      <c r="I54" s="5" t="n">
        <f aca="false">0.6*IF(NOT(ISNUMBER(PriceMetrics!P54)),50,100*(SUMPRODUCT(($B$2:$B$151=TRUE())*ISNUMBER(PriceMetrics!$P$2:$P$151)*(PriceMetrics!$P$2:$P$151&lt;PriceMetrics!P54))/MAX(1,SUMPRODUCT(($B$2:$B$151=TRUE())*ISNUMBER(PriceMetrics!$P$2:$P$151)))))+0.4*IF(NOT(ISNUMBER(PriceMetrics!H54)),50,IF(PriceMetrics!H54&gt;70,40,IF(PriceMetrics!H54&gt;=50,100,IF(PriceMetrics!H54&gt;=35,60,30))))</f>
        <v>50</v>
      </c>
      <c r="J54" s="5" t="n">
        <f aca="false">AVERAGE(IF(NOT(ISNUMBER(PriceMetrics!F54)),50,100*(1-(SUMPRODUCT(($B$2:$B$151=TRUE())*ISNUMBER(PriceMetrics!$F$2:$F$151)*(PriceMetrics!$F$2:$F$151&lt;PriceMetrics!F54))/MAX(1,SUMPRODUCT(($B$2:$B$151=TRUE())*ISNUMBER(PriceMetrics!$F$2:$F$151)))))),IF(NOT(ISNUMBER(PriceMetrics!G54)),50,100*(1-(SUMPRODUCT(($B$2:$B$151=TRUE())*ISNUMBER(PriceMetrics!$G$2:$G$151)*(ABS(PriceMetrics!$G$2:$G$151)&lt;ABS(PriceMetrics!G54)))/MAX(1,SUMPRODUCT(($B$2:$B$151=TRUE())*ISNUMBER(PriceMetrics!$G$2:$G$151)))))))</f>
        <v>50</v>
      </c>
      <c r="K54" s="5" t="n">
        <f aca="false">AVERAGE(H54:J54)</f>
        <v>50</v>
      </c>
      <c r="L54" s="8" t="n">
        <f aca="false">Macro!$B$26</f>
        <v>53.5</v>
      </c>
      <c r="M54" s="5" t="n">
        <f aca="false">Control!$B$3*100*G54/100+Control!$B$4*K54+Control!$B$5*L54</f>
        <v>50.7</v>
      </c>
      <c r="N54" s="3" t="n">
        <f aca="false">M54+ROW()/1000000</f>
        <v>50.700054</v>
      </c>
      <c r="O54" s="5" t="n">
        <f aca="false">M54-IF(AND(Tickers!D54="SMALLCAP100",Macro!$B$26&lt;40),Control!$B$11,0)</f>
        <v>50.7</v>
      </c>
      <c r="P54" s="3" t="str">
        <f aca="false">IF(B54=FALSE(),"-",IF(O54&gt;=Control!$B$7,"BUY",IF(O54&gt;=Control!$B$8,"ACCUMULATE",IF(O54&gt;=Control!$B$9,"HOLD","AVOID"))))</f>
        <v>-</v>
      </c>
      <c r="Q54" s="3" t="str">
        <f aca="false">IF(B54=FALSE(),"",IF(OR(O54&gt;=72,O54&lt;=32),"High",IF(OR(O54&gt;=62,O54&lt;=42),"Medium","Low")))</f>
        <v/>
      </c>
      <c r="R54" s="12" t="n">
        <f aca="false">IF(P54="BUY",Control!$B$12,IF(P54="ACCUMULATE",Control!$B$13,0))</f>
        <v>0</v>
      </c>
      <c r="S54" s="3" t="str">
        <f aca="false">IF(B54=FALSE(),"",IF(T54=C54,"Rich valuation",IF(T54=E54,"Weak growth",IF(T54=F54,"Balance-sheet leverage",IF(T54=I54,"Negative momentum","High volatility/drawdown")))))</f>
        <v/>
      </c>
      <c r="T54" s="3" t="n">
        <f aca="false">MIN(C54,E54,F54,I54,J54)</f>
        <v>50</v>
      </c>
      <c r="U54" s="3" t="n">
        <f aca="false">IF(B54=TRUE(),N54,-1000+ROW()/1000000)</f>
        <v>-999.999946</v>
      </c>
    </row>
    <row r="55" customFormat="false" ht="15" hidden="false" customHeight="false" outlineLevel="0" collapsed="false">
      <c r="A55" s="7" t="str">
        <f aca="false">Tickers!A55</f>
        <v>AFCONS</v>
      </c>
      <c r="B55" s="19" t="b">
        <f aca="false">Tickers!F55</f>
        <v>0</v>
      </c>
      <c r="C55" s="5" t="n">
        <f aca="false">AVERAGE(IF(NOT(ISNUMBER(Fundamentals!C55)),50,IF(Fundamentals!C55&lt;=0,15,100*(1-(SUMPRODUCT(($B$2:$B$151=TRUE())*ISNUMBER(Fundamentals!$C$2:$C$151)*(Fundamentals!$C$2:$C$151&gt;0)*(Fundamentals!$C$2:$C$151&lt;Fundamentals!C55))/MAX(1,SUMPRODUCT(($B$2:$B$151=TRUE())*ISNUMBER(Fundamentals!$C$2:$C$151)*(Fundamentals!$C$2:$C$151&gt;0))))))),IF(NOT(ISNUMBER(Fundamentals!E55)),50,IF(Fundamentals!E55&lt;=0,15,100*(1-(SUMPRODUCT(($B$2:$B$151=TRUE())*ISNUMBER(Fundamentals!$E$2:$E$151)*(Fundamentals!$E$2:$E$151&gt;0)*(Fundamentals!$E$2:$E$151&lt;Fundamentals!E55))/MAX(1,SUMPRODUCT(($B$2:$B$151=TRUE())*ISNUMBER(Fundamentals!$E$2:$E$151)*(Fundamentals!$E$2:$E$151&gt;0))))))))</f>
        <v>50</v>
      </c>
      <c r="D55" s="5" t="n">
        <f aca="false">AVERAGE(IF(NOT(ISNUMBER(Fundamentals!F55)),50,100*(SUMPRODUCT(($B$2:$B$151=TRUE())*ISNUMBER(Fundamentals!$F$2:$F$151)*(Fundamentals!$F$2:$F$151&lt;Fundamentals!F55))/MAX(1,SUMPRODUCT(($B$2:$B$151=TRUE())*ISNUMBER(Fundamentals!$F$2:$F$151))))),IF(NOT(ISNUMBER(Fundamentals!J55)),50,100*(SUMPRODUCT(($B$2:$B$151=TRUE())*ISNUMBER(Fundamentals!$J$2:$J$151)*(Fundamentals!$J$2:$J$151&lt;Fundamentals!J55))/MAX(1,SUMPRODUCT(($B$2:$B$151=TRUE())*ISNUMBER(Fundamentals!$J$2:$J$151))))))</f>
        <v>50</v>
      </c>
      <c r="E55" s="5" t="n">
        <f aca="false">AVERAGE(IF(NOT(ISNUMBER(Fundamentals!H55)),50,100*(SUMPRODUCT(($B$2:$B$151=TRUE())*ISNUMBER(Fundamentals!$H$2:$H$151)*(Fundamentals!$H$2:$H$151&lt;Fundamentals!H55))/MAX(1,SUMPRODUCT(($B$2:$B$151=TRUE())*ISNUMBER(Fundamentals!$H$2:$H$151))))),IF(NOT(ISNUMBER(Fundamentals!I55)),50,100*(SUMPRODUCT(($B$2:$B$151=TRUE())*ISNUMBER(Fundamentals!$I$2:$I$151)*(Fundamentals!$I$2:$I$151&lt;Fundamentals!I55))/MAX(1,SUMPRODUCT(($B$2:$B$151=TRUE())*ISNUMBER(Fundamentals!$I$2:$I$151))))))</f>
        <v>50</v>
      </c>
      <c r="F55" s="5" t="n">
        <f aca="false">IF(Tickers!C55="Financial Services",50,IF(NOT(ISNUMBER(Fundamentals!G55)),50,100*(1-(SUMPRODUCT(($B$2:$B$151=TRUE())*ISNUMBER(Fundamentals!$G$2:$G$151)*(Fundamentals!$G$2:$G$151&lt;Fundamentals!G55))/MAX(1,SUMPRODUCT(($B$2:$B$151=TRUE())*ISNUMBER(Fundamentals!$G$2:$G$151)))))))</f>
        <v>50</v>
      </c>
      <c r="G55" s="5" t="n">
        <f aca="false">AVERAGE(C55:F55)</f>
        <v>50</v>
      </c>
      <c r="H55" s="5" t="n">
        <f aca="false">MIN(100,MAX(0,IF(NOT(ISNUMBER(PriceMetrics!K55)),50,100*(SUMPRODUCT(($B$2:$B$151=TRUE())*ISNUMBER(PriceMetrics!$K$2:$K$151)*(PriceMetrics!$K$2:$K$151&lt;PriceMetrics!K55))/MAX(1,SUMPRODUCT(($B$2:$B$151=TRUE())*ISNUMBER(PriceMetrics!$K$2:$K$151)))))+IF(ISNUMBER(PriceMetrics!L55),10*PriceMetrics!L55,0)))</f>
        <v>50</v>
      </c>
      <c r="I55" s="5" t="n">
        <f aca="false">0.6*IF(NOT(ISNUMBER(PriceMetrics!P55)),50,100*(SUMPRODUCT(($B$2:$B$151=TRUE())*ISNUMBER(PriceMetrics!$P$2:$P$151)*(PriceMetrics!$P$2:$P$151&lt;PriceMetrics!P55))/MAX(1,SUMPRODUCT(($B$2:$B$151=TRUE())*ISNUMBER(PriceMetrics!$P$2:$P$151)))))+0.4*IF(NOT(ISNUMBER(PriceMetrics!H55)),50,IF(PriceMetrics!H55&gt;70,40,IF(PriceMetrics!H55&gt;=50,100,IF(PriceMetrics!H55&gt;=35,60,30))))</f>
        <v>50</v>
      </c>
      <c r="J55" s="5" t="n">
        <f aca="false">AVERAGE(IF(NOT(ISNUMBER(PriceMetrics!F55)),50,100*(1-(SUMPRODUCT(($B$2:$B$151=TRUE())*ISNUMBER(PriceMetrics!$F$2:$F$151)*(PriceMetrics!$F$2:$F$151&lt;PriceMetrics!F55))/MAX(1,SUMPRODUCT(($B$2:$B$151=TRUE())*ISNUMBER(PriceMetrics!$F$2:$F$151)))))),IF(NOT(ISNUMBER(PriceMetrics!G55)),50,100*(1-(SUMPRODUCT(($B$2:$B$151=TRUE())*ISNUMBER(PriceMetrics!$G$2:$G$151)*(ABS(PriceMetrics!$G$2:$G$151)&lt;ABS(PriceMetrics!G55)))/MAX(1,SUMPRODUCT(($B$2:$B$151=TRUE())*ISNUMBER(PriceMetrics!$G$2:$G$151)))))))</f>
        <v>50</v>
      </c>
      <c r="K55" s="5" t="n">
        <f aca="false">AVERAGE(H55:J55)</f>
        <v>50</v>
      </c>
      <c r="L55" s="8" t="n">
        <f aca="false">Macro!$B$26</f>
        <v>53.5</v>
      </c>
      <c r="M55" s="5" t="n">
        <f aca="false">Control!$B$3*100*G55/100+Control!$B$4*K55+Control!$B$5*L55</f>
        <v>50.7</v>
      </c>
      <c r="N55" s="3" t="n">
        <f aca="false">M55+ROW()/1000000</f>
        <v>50.700055</v>
      </c>
      <c r="O55" s="5" t="n">
        <f aca="false">M55-IF(AND(Tickers!D55="SMALLCAP100",Macro!$B$26&lt;40),Control!$B$11,0)</f>
        <v>50.7</v>
      </c>
      <c r="P55" s="3" t="str">
        <f aca="false">IF(B55=FALSE(),"-",IF(O55&gt;=Control!$B$7,"BUY",IF(O55&gt;=Control!$B$8,"ACCUMULATE",IF(O55&gt;=Control!$B$9,"HOLD","AVOID"))))</f>
        <v>-</v>
      </c>
      <c r="Q55" s="3" t="str">
        <f aca="false">IF(B55=FALSE(),"",IF(OR(O55&gt;=72,O55&lt;=32),"High",IF(OR(O55&gt;=62,O55&lt;=42),"Medium","Low")))</f>
        <v/>
      </c>
      <c r="R55" s="12" t="n">
        <f aca="false">IF(P55="BUY",Control!$B$12,IF(P55="ACCUMULATE",Control!$B$13,0))</f>
        <v>0</v>
      </c>
      <c r="S55" s="3" t="str">
        <f aca="false">IF(B55=FALSE(),"",IF(T55=C55,"Rich valuation",IF(T55=E55,"Weak growth",IF(T55=F55,"Balance-sheet leverage",IF(T55=I55,"Negative momentum","High volatility/drawdown")))))</f>
        <v/>
      </c>
      <c r="T55" s="3" t="n">
        <f aca="false">MIN(C55,E55,F55,I55,J55)</f>
        <v>50</v>
      </c>
      <c r="U55" s="3" t="n">
        <f aca="false">IF(B55=TRUE(),N55,-1000+ROW()/1000000)</f>
        <v>-999.999945</v>
      </c>
    </row>
    <row r="56" customFormat="false" ht="15" hidden="false" customHeight="false" outlineLevel="0" collapsed="false">
      <c r="A56" s="7" t="str">
        <f aca="false">Tickers!A56</f>
        <v>AFFLE</v>
      </c>
      <c r="B56" s="19" t="b">
        <f aca="false">Tickers!F56</f>
        <v>0</v>
      </c>
      <c r="C56" s="5" t="n">
        <f aca="false">AVERAGE(IF(NOT(ISNUMBER(Fundamentals!C56)),50,IF(Fundamentals!C56&lt;=0,15,100*(1-(SUMPRODUCT(($B$2:$B$151=TRUE())*ISNUMBER(Fundamentals!$C$2:$C$151)*(Fundamentals!$C$2:$C$151&gt;0)*(Fundamentals!$C$2:$C$151&lt;Fundamentals!C56))/MAX(1,SUMPRODUCT(($B$2:$B$151=TRUE())*ISNUMBER(Fundamentals!$C$2:$C$151)*(Fundamentals!$C$2:$C$151&gt;0))))))),IF(NOT(ISNUMBER(Fundamentals!E56)),50,IF(Fundamentals!E56&lt;=0,15,100*(1-(SUMPRODUCT(($B$2:$B$151=TRUE())*ISNUMBER(Fundamentals!$E$2:$E$151)*(Fundamentals!$E$2:$E$151&gt;0)*(Fundamentals!$E$2:$E$151&lt;Fundamentals!E56))/MAX(1,SUMPRODUCT(($B$2:$B$151=TRUE())*ISNUMBER(Fundamentals!$E$2:$E$151)*(Fundamentals!$E$2:$E$151&gt;0))))))))</f>
        <v>50</v>
      </c>
      <c r="D56" s="5" t="n">
        <f aca="false">AVERAGE(IF(NOT(ISNUMBER(Fundamentals!F56)),50,100*(SUMPRODUCT(($B$2:$B$151=TRUE())*ISNUMBER(Fundamentals!$F$2:$F$151)*(Fundamentals!$F$2:$F$151&lt;Fundamentals!F56))/MAX(1,SUMPRODUCT(($B$2:$B$151=TRUE())*ISNUMBER(Fundamentals!$F$2:$F$151))))),IF(NOT(ISNUMBER(Fundamentals!J56)),50,100*(SUMPRODUCT(($B$2:$B$151=TRUE())*ISNUMBER(Fundamentals!$J$2:$J$151)*(Fundamentals!$J$2:$J$151&lt;Fundamentals!J56))/MAX(1,SUMPRODUCT(($B$2:$B$151=TRUE())*ISNUMBER(Fundamentals!$J$2:$J$151))))))</f>
        <v>50</v>
      </c>
      <c r="E56" s="5" t="n">
        <f aca="false">AVERAGE(IF(NOT(ISNUMBER(Fundamentals!H56)),50,100*(SUMPRODUCT(($B$2:$B$151=TRUE())*ISNUMBER(Fundamentals!$H$2:$H$151)*(Fundamentals!$H$2:$H$151&lt;Fundamentals!H56))/MAX(1,SUMPRODUCT(($B$2:$B$151=TRUE())*ISNUMBER(Fundamentals!$H$2:$H$151))))),IF(NOT(ISNUMBER(Fundamentals!I56)),50,100*(SUMPRODUCT(($B$2:$B$151=TRUE())*ISNUMBER(Fundamentals!$I$2:$I$151)*(Fundamentals!$I$2:$I$151&lt;Fundamentals!I56))/MAX(1,SUMPRODUCT(($B$2:$B$151=TRUE())*ISNUMBER(Fundamentals!$I$2:$I$151))))))</f>
        <v>50</v>
      </c>
      <c r="F56" s="5" t="n">
        <f aca="false">IF(Tickers!C56="Financial Services",50,IF(NOT(ISNUMBER(Fundamentals!G56)),50,100*(1-(SUMPRODUCT(($B$2:$B$151=TRUE())*ISNUMBER(Fundamentals!$G$2:$G$151)*(Fundamentals!$G$2:$G$151&lt;Fundamentals!G56))/MAX(1,SUMPRODUCT(($B$2:$B$151=TRUE())*ISNUMBER(Fundamentals!$G$2:$G$151)))))))</f>
        <v>50</v>
      </c>
      <c r="G56" s="5" t="n">
        <f aca="false">AVERAGE(C56:F56)</f>
        <v>50</v>
      </c>
      <c r="H56" s="5" t="n">
        <f aca="false">MIN(100,MAX(0,IF(NOT(ISNUMBER(PriceMetrics!K56)),50,100*(SUMPRODUCT(($B$2:$B$151=TRUE())*ISNUMBER(PriceMetrics!$K$2:$K$151)*(PriceMetrics!$K$2:$K$151&lt;PriceMetrics!K56))/MAX(1,SUMPRODUCT(($B$2:$B$151=TRUE())*ISNUMBER(PriceMetrics!$K$2:$K$151)))))+IF(ISNUMBER(PriceMetrics!L56),10*PriceMetrics!L56,0)))</f>
        <v>50</v>
      </c>
      <c r="I56" s="5" t="n">
        <f aca="false">0.6*IF(NOT(ISNUMBER(PriceMetrics!P56)),50,100*(SUMPRODUCT(($B$2:$B$151=TRUE())*ISNUMBER(PriceMetrics!$P$2:$P$151)*(PriceMetrics!$P$2:$P$151&lt;PriceMetrics!P56))/MAX(1,SUMPRODUCT(($B$2:$B$151=TRUE())*ISNUMBER(PriceMetrics!$P$2:$P$151)))))+0.4*IF(NOT(ISNUMBER(PriceMetrics!H56)),50,IF(PriceMetrics!H56&gt;70,40,IF(PriceMetrics!H56&gt;=50,100,IF(PriceMetrics!H56&gt;=35,60,30))))</f>
        <v>50</v>
      </c>
      <c r="J56" s="5" t="n">
        <f aca="false">AVERAGE(IF(NOT(ISNUMBER(PriceMetrics!F56)),50,100*(1-(SUMPRODUCT(($B$2:$B$151=TRUE())*ISNUMBER(PriceMetrics!$F$2:$F$151)*(PriceMetrics!$F$2:$F$151&lt;PriceMetrics!F56))/MAX(1,SUMPRODUCT(($B$2:$B$151=TRUE())*ISNUMBER(PriceMetrics!$F$2:$F$151)))))),IF(NOT(ISNUMBER(PriceMetrics!G56)),50,100*(1-(SUMPRODUCT(($B$2:$B$151=TRUE())*ISNUMBER(PriceMetrics!$G$2:$G$151)*(ABS(PriceMetrics!$G$2:$G$151)&lt;ABS(PriceMetrics!G56)))/MAX(1,SUMPRODUCT(($B$2:$B$151=TRUE())*ISNUMBER(PriceMetrics!$G$2:$G$151)))))))</f>
        <v>50</v>
      </c>
      <c r="K56" s="5" t="n">
        <f aca="false">AVERAGE(H56:J56)</f>
        <v>50</v>
      </c>
      <c r="L56" s="8" t="n">
        <f aca="false">Macro!$B$26</f>
        <v>53.5</v>
      </c>
      <c r="M56" s="5" t="n">
        <f aca="false">Control!$B$3*100*G56/100+Control!$B$4*K56+Control!$B$5*L56</f>
        <v>50.7</v>
      </c>
      <c r="N56" s="3" t="n">
        <f aca="false">M56+ROW()/1000000</f>
        <v>50.700056</v>
      </c>
      <c r="O56" s="5" t="n">
        <f aca="false">M56-IF(AND(Tickers!D56="SMALLCAP100",Macro!$B$26&lt;40),Control!$B$11,0)</f>
        <v>50.7</v>
      </c>
      <c r="P56" s="3" t="str">
        <f aca="false">IF(B56=FALSE(),"-",IF(O56&gt;=Control!$B$7,"BUY",IF(O56&gt;=Control!$B$8,"ACCUMULATE",IF(O56&gt;=Control!$B$9,"HOLD","AVOID"))))</f>
        <v>-</v>
      </c>
      <c r="Q56" s="3" t="str">
        <f aca="false">IF(B56=FALSE(),"",IF(OR(O56&gt;=72,O56&lt;=32),"High",IF(OR(O56&gt;=62,O56&lt;=42),"Medium","Low")))</f>
        <v/>
      </c>
      <c r="R56" s="12" t="n">
        <f aca="false">IF(P56="BUY",Control!$B$12,IF(P56="ACCUMULATE",Control!$B$13,0))</f>
        <v>0</v>
      </c>
      <c r="S56" s="3" t="str">
        <f aca="false">IF(B56=FALSE(),"",IF(T56=C56,"Rich valuation",IF(T56=E56,"Weak growth",IF(T56=F56,"Balance-sheet leverage",IF(T56=I56,"Negative momentum","High volatility/drawdown")))))</f>
        <v/>
      </c>
      <c r="T56" s="3" t="n">
        <f aca="false">MIN(C56,E56,F56,I56,J56)</f>
        <v>50</v>
      </c>
      <c r="U56" s="3" t="n">
        <f aca="false">IF(B56=TRUE(),N56,-1000+ROW()/1000000)</f>
        <v>-999.999944</v>
      </c>
    </row>
    <row r="57" customFormat="false" ht="15" hidden="false" customHeight="false" outlineLevel="0" collapsed="false">
      <c r="A57" s="7" t="str">
        <f aca="false">Tickers!A57</f>
        <v>ARE&amp;M</v>
      </c>
      <c r="B57" s="19" t="b">
        <f aca="false">Tickers!F57</f>
        <v>0</v>
      </c>
      <c r="C57" s="5" t="n">
        <f aca="false">AVERAGE(IF(NOT(ISNUMBER(Fundamentals!C57)),50,IF(Fundamentals!C57&lt;=0,15,100*(1-(SUMPRODUCT(($B$2:$B$151=TRUE())*ISNUMBER(Fundamentals!$C$2:$C$151)*(Fundamentals!$C$2:$C$151&gt;0)*(Fundamentals!$C$2:$C$151&lt;Fundamentals!C57))/MAX(1,SUMPRODUCT(($B$2:$B$151=TRUE())*ISNUMBER(Fundamentals!$C$2:$C$151)*(Fundamentals!$C$2:$C$151&gt;0))))))),IF(NOT(ISNUMBER(Fundamentals!E57)),50,IF(Fundamentals!E57&lt;=0,15,100*(1-(SUMPRODUCT(($B$2:$B$151=TRUE())*ISNUMBER(Fundamentals!$E$2:$E$151)*(Fundamentals!$E$2:$E$151&gt;0)*(Fundamentals!$E$2:$E$151&lt;Fundamentals!E57))/MAX(1,SUMPRODUCT(($B$2:$B$151=TRUE())*ISNUMBER(Fundamentals!$E$2:$E$151)*(Fundamentals!$E$2:$E$151&gt;0))))))))</f>
        <v>50</v>
      </c>
      <c r="D57" s="5" t="n">
        <f aca="false">AVERAGE(IF(NOT(ISNUMBER(Fundamentals!F57)),50,100*(SUMPRODUCT(($B$2:$B$151=TRUE())*ISNUMBER(Fundamentals!$F$2:$F$151)*(Fundamentals!$F$2:$F$151&lt;Fundamentals!F57))/MAX(1,SUMPRODUCT(($B$2:$B$151=TRUE())*ISNUMBER(Fundamentals!$F$2:$F$151))))),IF(NOT(ISNUMBER(Fundamentals!J57)),50,100*(SUMPRODUCT(($B$2:$B$151=TRUE())*ISNUMBER(Fundamentals!$J$2:$J$151)*(Fundamentals!$J$2:$J$151&lt;Fundamentals!J57))/MAX(1,SUMPRODUCT(($B$2:$B$151=TRUE())*ISNUMBER(Fundamentals!$J$2:$J$151))))))</f>
        <v>50</v>
      </c>
      <c r="E57" s="5" t="n">
        <f aca="false">AVERAGE(IF(NOT(ISNUMBER(Fundamentals!H57)),50,100*(SUMPRODUCT(($B$2:$B$151=TRUE())*ISNUMBER(Fundamentals!$H$2:$H$151)*(Fundamentals!$H$2:$H$151&lt;Fundamentals!H57))/MAX(1,SUMPRODUCT(($B$2:$B$151=TRUE())*ISNUMBER(Fundamentals!$H$2:$H$151))))),IF(NOT(ISNUMBER(Fundamentals!I57)),50,100*(SUMPRODUCT(($B$2:$B$151=TRUE())*ISNUMBER(Fundamentals!$I$2:$I$151)*(Fundamentals!$I$2:$I$151&lt;Fundamentals!I57))/MAX(1,SUMPRODUCT(($B$2:$B$151=TRUE())*ISNUMBER(Fundamentals!$I$2:$I$151))))))</f>
        <v>50</v>
      </c>
      <c r="F57" s="5" t="n">
        <f aca="false">IF(Tickers!C57="Financial Services",50,IF(NOT(ISNUMBER(Fundamentals!G57)),50,100*(1-(SUMPRODUCT(($B$2:$B$151=TRUE())*ISNUMBER(Fundamentals!$G$2:$G$151)*(Fundamentals!$G$2:$G$151&lt;Fundamentals!G57))/MAX(1,SUMPRODUCT(($B$2:$B$151=TRUE())*ISNUMBER(Fundamentals!$G$2:$G$151)))))))</f>
        <v>50</v>
      </c>
      <c r="G57" s="5" t="n">
        <f aca="false">AVERAGE(C57:F57)</f>
        <v>50</v>
      </c>
      <c r="H57" s="5" t="n">
        <f aca="false">MIN(100,MAX(0,IF(NOT(ISNUMBER(PriceMetrics!K57)),50,100*(SUMPRODUCT(($B$2:$B$151=TRUE())*ISNUMBER(PriceMetrics!$K$2:$K$151)*(PriceMetrics!$K$2:$K$151&lt;PriceMetrics!K57))/MAX(1,SUMPRODUCT(($B$2:$B$151=TRUE())*ISNUMBER(PriceMetrics!$K$2:$K$151)))))+IF(ISNUMBER(PriceMetrics!L57),10*PriceMetrics!L57,0)))</f>
        <v>50</v>
      </c>
      <c r="I57" s="5" t="n">
        <f aca="false">0.6*IF(NOT(ISNUMBER(PriceMetrics!P57)),50,100*(SUMPRODUCT(($B$2:$B$151=TRUE())*ISNUMBER(PriceMetrics!$P$2:$P$151)*(PriceMetrics!$P$2:$P$151&lt;PriceMetrics!P57))/MAX(1,SUMPRODUCT(($B$2:$B$151=TRUE())*ISNUMBER(PriceMetrics!$P$2:$P$151)))))+0.4*IF(NOT(ISNUMBER(PriceMetrics!H57)),50,IF(PriceMetrics!H57&gt;70,40,IF(PriceMetrics!H57&gt;=50,100,IF(PriceMetrics!H57&gt;=35,60,30))))</f>
        <v>50</v>
      </c>
      <c r="J57" s="5" t="n">
        <f aca="false">AVERAGE(IF(NOT(ISNUMBER(PriceMetrics!F57)),50,100*(1-(SUMPRODUCT(($B$2:$B$151=TRUE())*ISNUMBER(PriceMetrics!$F$2:$F$151)*(PriceMetrics!$F$2:$F$151&lt;PriceMetrics!F57))/MAX(1,SUMPRODUCT(($B$2:$B$151=TRUE())*ISNUMBER(PriceMetrics!$F$2:$F$151)))))),IF(NOT(ISNUMBER(PriceMetrics!G57)),50,100*(1-(SUMPRODUCT(($B$2:$B$151=TRUE())*ISNUMBER(PriceMetrics!$G$2:$G$151)*(ABS(PriceMetrics!$G$2:$G$151)&lt;ABS(PriceMetrics!G57)))/MAX(1,SUMPRODUCT(($B$2:$B$151=TRUE())*ISNUMBER(PriceMetrics!$G$2:$G$151)))))))</f>
        <v>50</v>
      </c>
      <c r="K57" s="5" t="n">
        <f aca="false">AVERAGE(H57:J57)</f>
        <v>50</v>
      </c>
      <c r="L57" s="8" t="n">
        <f aca="false">Macro!$B$26</f>
        <v>53.5</v>
      </c>
      <c r="M57" s="5" t="n">
        <f aca="false">Control!$B$3*100*G57/100+Control!$B$4*K57+Control!$B$5*L57</f>
        <v>50.7</v>
      </c>
      <c r="N57" s="3" t="n">
        <f aca="false">M57+ROW()/1000000</f>
        <v>50.700057</v>
      </c>
      <c r="O57" s="5" t="n">
        <f aca="false">M57-IF(AND(Tickers!D57="SMALLCAP100",Macro!$B$26&lt;40),Control!$B$11,0)</f>
        <v>50.7</v>
      </c>
      <c r="P57" s="3" t="str">
        <f aca="false">IF(B57=FALSE(),"-",IF(O57&gt;=Control!$B$7,"BUY",IF(O57&gt;=Control!$B$8,"ACCUMULATE",IF(O57&gt;=Control!$B$9,"HOLD","AVOID"))))</f>
        <v>-</v>
      </c>
      <c r="Q57" s="3" t="str">
        <f aca="false">IF(B57=FALSE(),"",IF(OR(O57&gt;=72,O57&lt;=32),"High",IF(OR(O57&gt;=62,O57&lt;=42),"Medium","Low")))</f>
        <v/>
      </c>
      <c r="R57" s="12" t="n">
        <f aca="false">IF(P57="BUY",Control!$B$12,IF(P57="ACCUMULATE",Control!$B$13,0))</f>
        <v>0</v>
      </c>
      <c r="S57" s="3" t="str">
        <f aca="false">IF(B57=FALSE(),"",IF(T57=C57,"Rich valuation",IF(T57=E57,"Weak growth",IF(T57=F57,"Balance-sheet leverage",IF(T57=I57,"Negative momentum","High volatility/drawdown")))))</f>
        <v/>
      </c>
      <c r="T57" s="3" t="n">
        <f aca="false">MIN(C57,E57,F57,I57,J57)</f>
        <v>50</v>
      </c>
      <c r="U57" s="3" t="n">
        <f aca="false">IF(B57=TRUE(),N57,-1000+ROW()/1000000)</f>
        <v>-999.999943</v>
      </c>
    </row>
    <row r="58" customFormat="false" ht="15" hidden="false" customHeight="false" outlineLevel="0" collapsed="false">
      <c r="A58" s="7" t="str">
        <f aca="false">Tickers!A58</f>
        <v>AMBER</v>
      </c>
      <c r="B58" s="19" t="b">
        <f aca="false">Tickers!F58</f>
        <v>0</v>
      </c>
      <c r="C58" s="5" t="n">
        <f aca="false">AVERAGE(IF(NOT(ISNUMBER(Fundamentals!C58)),50,IF(Fundamentals!C58&lt;=0,15,100*(1-(SUMPRODUCT(($B$2:$B$151=TRUE())*ISNUMBER(Fundamentals!$C$2:$C$151)*(Fundamentals!$C$2:$C$151&gt;0)*(Fundamentals!$C$2:$C$151&lt;Fundamentals!C58))/MAX(1,SUMPRODUCT(($B$2:$B$151=TRUE())*ISNUMBER(Fundamentals!$C$2:$C$151)*(Fundamentals!$C$2:$C$151&gt;0))))))),IF(NOT(ISNUMBER(Fundamentals!E58)),50,IF(Fundamentals!E58&lt;=0,15,100*(1-(SUMPRODUCT(($B$2:$B$151=TRUE())*ISNUMBER(Fundamentals!$E$2:$E$151)*(Fundamentals!$E$2:$E$151&gt;0)*(Fundamentals!$E$2:$E$151&lt;Fundamentals!E58))/MAX(1,SUMPRODUCT(($B$2:$B$151=TRUE())*ISNUMBER(Fundamentals!$E$2:$E$151)*(Fundamentals!$E$2:$E$151&gt;0))))))))</f>
        <v>50</v>
      </c>
      <c r="D58" s="5" t="n">
        <f aca="false">AVERAGE(IF(NOT(ISNUMBER(Fundamentals!F58)),50,100*(SUMPRODUCT(($B$2:$B$151=TRUE())*ISNUMBER(Fundamentals!$F$2:$F$151)*(Fundamentals!$F$2:$F$151&lt;Fundamentals!F58))/MAX(1,SUMPRODUCT(($B$2:$B$151=TRUE())*ISNUMBER(Fundamentals!$F$2:$F$151))))),IF(NOT(ISNUMBER(Fundamentals!J58)),50,100*(SUMPRODUCT(($B$2:$B$151=TRUE())*ISNUMBER(Fundamentals!$J$2:$J$151)*(Fundamentals!$J$2:$J$151&lt;Fundamentals!J58))/MAX(1,SUMPRODUCT(($B$2:$B$151=TRUE())*ISNUMBER(Fundamentals!$J$2:$J$151))))))</f>
        <v>50</v>
      </c>
      <c r="E58" s="5" t="n">
        <f aca="false">AVERAGE(IF(NOT(ISNUMBER(Fundamentals!H58)),50,100*(SUMPRODUCT(($B$2:$B$151=TRUE())*ISNUMBER(Fundamentals!$H$2:$H$151)*(Fundamentals!$H$2:$H$151&lt;Fundamentals!H58))/MAX(1,SUMPRODUCT(($B$2:$B$151=TRUE())*ISNUMBER(Fundamentals!$H$2:$H$151))))),IF(NOT(ISNUMBER(Fundamentals!I58)),50,100*(SUMPRODUCT(($B$2:$B$151=TRUE())*ISNUMBER(Fundamentals!$I$2:$I$151)*(Fundamentals!$I$2:$I$151&lt;Fundamentals!I58))/MAX(1,SUMPRODUCT(($B$2:$B$151=TRUE())*ISNUMBER(Fundamentals!$I$2:$I$151))))))</f>
        <v>50</v>
      </c>
      <c r="F58" s="5" t="n">
        <f aca="false">IF(Tickers!C58="Financial Services",50,IF(NOT(ISNUMBER(Fundamentals!G58)),50,100*(1-(SUMPRODUCT(($B$2:$B$151=TRUE())*ISNUMBER(Fundamentals!$G$2:$G$151)*(Fundamentals!$G$2:$G$151&lt;Fundamentals!G58))/MAX(1,SUMPRODUCT(($B$2:$B$151=TRUE())*ISNUMBER(Fundamentals!$G$2:$G$151)))))))</f>
        <v>50</v>
      </c>
      <c r="G58" s="5" t="n">
        <f aca="false">AVERAGE(C58:F58)</f>
        <v>50</v>
      </c>
      <c r="H58" s="5" t="n">
        <f aca="false">MIN(100,MAX(0,IF(NOT(ISNUMBER(PriceMetrics!K58)),50,100*(SUMPRODUCT(($B$2:$B$151=TRUE())*ISNUMBER(PriceMetrics!$K$2:$K$151)*(PriceMetrics!$K$2:$K$151&lt;PriceMetrics!K58))/MAX(1,SUMPRODUCT(($B$2:$B$151=TRUE())*ISNUMBER(PriceMetrics!$K$2:$K$151)))))+IF(ISNUMBER(PriceMetrics!L58),10*PriceMetrics!L58,0)))</f>
        <v>50</v>
      </c>
      <c r="I58" s="5" t="n">
        <f aca="false">0.6*IF(NOT(ISNUMBER(PriceMetrics!P58)),50,100*(SUMPRODUCT(($B$2:$B$151=TRUE())*ISNUMBER(PriceMetrics!$P$2:$P$151)*(PriceMetrics!$P$2:$P$151&lt;PriceMetrics!P58))/MAX(1,SUMPRODUCT(($B$2:$B$151=TRUE())*ISNUMBER(PriceMetrics!$P$2:$P$151)))))+0.4*IF(NOT(ISNUMBER(PriceMetrics!H58)),50,IF(PriceMetrics!H58&gt;70,40,IF(PriceMetrics!H58&gt;=50,100,IF(PriceMetrics!H58&gt;=35,60,30))))</f>
        <v>50</v>
      </c>
      <c r="J58" s="5" t="n">
        <f aca="false">AVERAGE(IF(NOT(ISNUMBER(PriceMetrics!F58)),50,100*(1-(SUMPRODUCT(($B$2:$B$151=TRUE())*ISNUMBER(PriceMetrics!$F$2:$F$151)*(PriceMetrics!$F$2:$F$151&lt;PriceMetrics!F58))/MAX(1,SUMPRODUCT(($B$2:$B$151=TRUE())*ISNUMBER(PriceMetrics!$F$2:$F$151)))))),IF(NOT(ISNUMBER(PriceMetrics!G58)),50,100*(1-(SUMPRODUCT(($B$2:$B$151=TRUE())*ISNUMBER(PriceMetrics!$G$2:$G$151)*(ABS(PriceMetrics!$G$2:$G$151)&lt;ABS(PriceMetrics!G58)))/MAX(1,SUMPRODUCT(($B$2:$B$151=TRUE())*ISNUMBER(PriceMetrics!$G$2:$G$151)))))))</f>
        <v>50</v>
      </c>
      <c r="K58" s="5" t="n">
        <f aca="false">AVERAGE(H58:J58)</f>
        <v>50</v>
      </c>
      <c r="L58" s="8" t="n">
        <f aca="false">Macro!$B$26</f>
        <v>53.5</v>
      </c>
      <c r="M58" s="5" t="n">
        <f aca="false">Control!$B$3*100*G58/100+Control!$B$4*K58+Control!$B$5*L58</f>
        <v>50.7</v>
      </c>
      <c r="N58" s="3" t="n">
        <f aca="false">M58+ROW()/1000000</f>
        <v>50.700058</v>
      </c>
      <c r="O58" s="5" t="n">
        <f aca="false">M58-IF(AND(Tickers!D58="SMALLCAP100",Macro!$B$26&lt;40),Control!$B$11,0)</f>
        <v>50.7</v>
      </c>
      <c r="P58" s="3" t="str">
        <f aca="false">IF(B58=FALSE(),"-",IF(O58&gt;=Control!$B$7,"BUY",IF(O58&gt;=Control!$B$8,"ACCUMULATE",IF(O58&gt;=Control!$B$9,"HOLD","AVOID"))))</f>
        <v>-</v>
      </c>
      <c r="Q58" s="3" t="str">
        <f aca="false">IF(B58=FALSE(),"",IF(OR(O58&gt;=72,O58&lt;=32),"High",IF(OR(O58&gt;=62,O58&lt;=42),"Medium","Low")))</f>
        <v/>
      </c>
      <c r="R58" s="12" t="n">
        <f aca="false">IF(P58="BUY",Control!$B$12,IF(P58="ACCUMULATE",Control!$B$13,0))</f>
        <v>0</v>
      </c>
      <c r="S58" s="3" t="str">
        <f aca="false">IF(B58=FALSE(),"",IF(T58=C58,"Rich valuation",IF(T58=E58,"Weak growth",IF(T58=F58,"Balance-sheet leverage",IF(T58=I58,"Negative momentum","High volatility/drawdown")))))</f>
        <v/>
      </c>
      <c r="T58" s="3" t="n">
        <f aca="false">MIN(C58,E58,F58,I58,J58)</f>
        <v>50</v>
      </c>
      <c r="U58" s="3" t="n">
        <f aca="false">IF(B58=TRUE(),N58,-1000+ROW()/1000000)</f>
        <v>-999.999942</v>
      </c>
    </row>
    <row r="59" customFormat="false" ht="15" hidden="false" customHeight="false" outlineLevel="0" collapsed="false">
      <c r="A59" s="7" t="str">
        <f aca="false">Tickers!A59</f>
        <v>ANANDRATHI</v>
      </c>
      <c r="B59" s="19" t="b">
        <f aca="false">Tickers!F59</f>
        <v>0</v>
      </c>
      <c r="C59" s="5" t="n">
        <f aca="false">AVERAGE(IF(NOT(ISNUMBER(Fundamentals!C59)),50,IF(Fundamentals!C59&lt;=0,15,100*(1-(SUMPRODUCT(($B$2:$B$151=TRUE())*ISNUMBER(Fundamentals!$C$2:$C$151)*(Fundamentals!$C$2:$C$151&gt;0)*(Fundamentals!$C$2:$C$151&lt;Fundamentals!C59))/MAX(1,SUMPRODUCT(($B$2:$B$151=TRUE())*ISNUMBER(Fundamentals!$C$2:$C$151)*(Fundamentals!$C$2:$C$151&gt;0))))))),IF(NOT(ISNUMBER(Fundamentals!E59)),50,IF(Fundamentals!E59&lt;=0,15,100*(1-(SUMPRODUCT(($B$2:$B$151=TRUE())*ISNUMBER(Fundamentals!$E$2:$E$151)*(Fundamentals!$E$2:$E$151&gt;0)*(Fundamentals!$E$2:$E$151&lt;Fundamentals!E59))/MAX(1,SUMPRODUCT(($B$2:$B$151=TRUE())*ISNUMBER(Fundamentals!$E$2:$E$151)*(Fundamentals!$E$2:$E$151&gt;0))))))))</f>
        <v>50</v>
      </c>
      <c r="D59" s="5" t="n">
        <f aca="false">AVERAGE(IF(NOT(ISNUMBER(Fundamentals!F59)),50,100*(SUMPRODUCT(($B$2:$B$151=TRUE())*ISNUMBER(Fundamentals!$F$2:$F$151)*(Fundamentals!$F$2:$F$151&lt;Fundamentals!F59))/MAX(1,SUMPRODUCT(($B$2:$B$151=TRUE())*ISNUMBER(Fundamentals!$F$2:$F$151))))),IF(NOT(ISNUMBER(Fundamentals!J59)),50,100*(SUMPRODUCT(($B$2:$B$151=TRUE())*ISNUMBER(Fundamentals!$J$2:$J$151)*(Fundamentals!$J$2:$J$151&lt;Fundamentals!J59))/MAX(1,SUMPRODUCT(($B$2:$B$151=TRUE())*ISNUMBER(Fundamentals!$J$2:$J$151))))))</f>
        <v>50</v>
      </c>
      <c r="E59" s="5" t="n">
        <f aca="false">AVERAGE(IF(NOT(ISNUMBER(Fundamentals!H59)),50,100*(SUMPRODUCT(($B$2:$B$151=TRUE())*ISNUMBER(Fundamentals!$H$2:$H$151)*(Fundamentals!$H$2:$H$151&lt;Fundamentals!H59))/MAX(1,SUMPRODUCT(($B$2:$B$151=TRUE())*ISNUMBER(Fundamentals!$H$2:$H$151))))),IF(NOT(ISNUMBER(Fundamentals!I59)),50,100*(SUMPRODUCT(($B$2:$B$151=TRUE())*ISNUMBER(Fundamentals!$I$2:$I$151)*(Fundamentals!$I$2:$I$151&lt;Fundamentals!I59))/MAX(1,SUMPRODUCT(($B$2:$B$151=TRUE())*ISNUMBER(Fundamentals!$I$2:$I$151))))))</f>
        <v>50</v>
      </c>
      <c r="F59" s="5" t="n">
        <f aca="false">IF(Tickers!C59="Financial Services",50,IF(NOT(ISNUMBER(Fundamentals!G59)),50,100*(1-(SUMPRODUCT(($B$2:$B$151=TRUE())*ISNUMBER(Fundamentals!$G$2:$G$151)*(Fundamentals!$G$2:$G$151&lt;Fundamentals!G59))/MAX(1,SUMPRODUCT(($B$2:$B$151=TRUE())*ISNUMBER(Fundamentals!$G$2:$G$151)))))))</f>
        <v>50</v>
      </c>
      <c r="G59" s="5" t="n">
        <f aca="false">AVERAGE(C59:F59)</f>
        <v>50</v>
      </c>
      <c r="H59" s="5" t="n">
        <f aca="false">MIN(100,MAX(0,IF(NOT(ISNUMBER(PriceMetrics!K59)),50,100*(SUMPRODUCT(($B$2:$B$151=TRUE())*ISNUMBER(PriceMetrics!$K$2:$K$151)*(PriceMetrics!$K$2:$K$151&lt;PriceMetrics!K59))/MAX(1,SUMPRODUCT(($B$2:$B$151=TRUE())*ISNUMBER(PriceMetrics!$K$2:$K$151)))))+IF(ISNUMBER(PriceMetrics!L59),10*PriceMetrics!L59,0)))</f>
        <v>50</v>
      </c>
      <c r="I59" s="5" t="n">
        <f aca="false">0.6*IF(NOT(ISNUMBER(PriceMetrics!P59)),50,100*(SUMPRODUCT(($B$2:$B$151=TRUE())*ISNUMBER(PriceMetrics!$P$2:$P$151)*(PriceMetrics!$P$2:$P$151&lt;PriceMetrics!P59))/MAX(1,SUMPRODUCT(($B$2:$B$151=TRUE())*ISNUMBER(PriceMetrics!$P$2:$P$151)))))+0.4*IF(NOT(ISNUMBER(PriceMetrics!H59)),50,IF(PriceMetrics!H59&gt;70,40,IF(PriceMetrics!H59&gt;=50,100,IF(PriceMetrics!H59&gt;=35,60,30))))</f>
        <v>50</v>
      </c>
      <c r="J59" s="5" t="n">
        <f aca="false">AVERAGE(IF(NOT(ISNUMBER(PriceMetrics!F59)),50,100*(1-(SUMPRODUCT(($B$2:$B$151=TRUE())*ISNUMBER(PriceMetrics!$F$2:$F$151)*(PriceMetrics!$F$2:$F$151&lt;PriceMetrics!F59))/MAX(1,SUMPRODUCT(($B$2:$B$151=TRUE())*ISNUMBER(PriceMetrics!$F$2:$F$151)))))),IF(NOT(ISNUMBER(PriceMetrics!G59)),50,100*(1-(SUMPRODUCT(($B$2:$B$151=TRUE())*ISNUMBER(PriceMetrics!$G$2:$G$151)*(ABS(PriceMetrics!$G$2:$G$151)&lt;ABS(PriceMetrics!G59)))/MAX(1,SUMPRODUCT(($B$2:$B$151=TRUE())*ISNUMBER(PriceMetrics!$G$2:$G$151)))))))</f>
        <v>50</v>
      </c>
      <c r="K59" s="5" t="n">
        <f aca="false">AVERAGE(H59:J59)</f>
        <v>50</v>
      </c>
      <c r="L59" s="8" t="n">
        <f aca="false">Macro!$B$26</f>
        <v>53.5</v>
      </c>
      <c r="M59" s="5" t="n">
        <f aca="false">Control!$B$3*100*G59/100+Control!$B$4*K59+Control!$B$5*L59</f>
        <v>50.7</v>
      </c>
      <c r="N59" s="3" t="n">
        <f aca="false">M59+ROW()/1000000</f>
        <v>50.700059</v>
      </c>
      <c r="O59" s="5" t="n">
        <f aca="false">M59-IF(AND(Tickers!D59="SMALLCAP100",Macro!$B$26&lt;40),Control!$B$11,0)</f>
        <v>50.7</v>
      </c>
      <c r="P59" s="3" t="str">
        <f aca="false">IF(B59=FALSE(),"-",IF(O59&gt;=Control!$B$7,"BUY",IF(O59&gt;=Control!$B$8,"ACCUMULATE",IF(O59&gt;=Control!$B$9,"HOLD","AVOID"))))</f>
        <v>-</v>
      </c>
      <c r="Q59" s="3" t="str">
        <f aca="false">IF(B59=FALSE(),"",IF(OR(O59&gt;=72,O59&lt;=32),"High",IF(OR(O59&gt;=62,O59&lt;=42),"Medium","Low")))</f>
        <v/>
      </c>
      <c r="R59" s="12" t="n">
        <f aca="false">IF(P59="BUY",Control!$B$12,IF(P59="ACCUMULATE",Control!$B$13,0))</f>
        <v>0</v>
      </c>
      <c r="S59" s="3" t="str">
        <f aca="false">IF(B59=FALSE(),"",IF(T59=C59,"Rich valuation",IF(T59=E59,"Weak growth",IF(T59=F59,"Balance-sheet leverage",IF(T59=I59,"Negative momentum","High volatility/drawdown")))))</f>
        <v/>
      </c>
      <c r="T59" s="3" t="n">
        <f aca="false">MIN(C59,E59,F59,I59,J59)</f>
        <v>50</v>
      </c>
      <c r="U59" s="3" t="n">
        <f aca="false">IF(B59=TRUE(),N59,-1000+ROW()/1000000)</f>
        <v>-999.999941</v>
      </c>
    </row>
    <row r="60" customFormat="false" ht="15" hidden="false" customHeight="false" outlineLevel="0" collapsed="false">
      <c r="A60" s="7" t="str">
        <f aca="false">Tickers!A60</f>
        <v>ANANTRAJ</v>
      </c>
      <c r="B60" s="19" t="b">
        <f aca="false">Tickers!F60</f>
        <v>0</v>
      </c>
      <c r="C60" s="5" t="n">
        <f aca="false">AVERAGE(IF(NOT(ISNUMBER(Fundamentals!C60)),50,IF(Fundamentals!C60&lt;=0,15,100*(1-(SUMPRODUCT(($B$2:$B$151=TRUE())*ISNUMBER(Fundamentals!$C$2:$C$151)*(Fundamentals!$C$2:$C$151&gt;0)*(Fundamentals!$C$2:$C$151&lt;Fundamentals!C60))/MAX(1,SUMPRODUCT(($B$2:$B$151=TRUE())*ISNUMBER(Fundamentals!$C$2:$C$151)*(Fundamentals!$C$2:$C$151&gt;0))))))),IF(NOT(ISNUMBER(Fundamentals!E60)),50,IF(Fundamentals!E60&lt;=0,15,100*(1-(SUMPRODUCT(($B$2:$B$151=TRUE())*ISNUMBER(Fundamentals!$E$2:$E$151)*(Fundamentals!$E$2:$E$151&gt;0)*(Fundamentals!$E$2:$E$151&lt;Fundamentals!E60))/MAX(1,SUMPRODUCT(($B$2:$B$151=TRUE())*ISNUMBER(Fundamentals!$E$2:$E$151)*(Fundamentals!$E$2:$E$151&gt;0))))))))</f>
        <v>50</v>
      </c>
      <c r="D60" s="5" t="n">
        <f aca="false">AVERAGE(IF(NOT(ISNUMBER(Fundamentals!F60)),50,100*(SUMPRODUCT(($B$2:$B$151=TRUE())*ISNUMBER(Fundamentals!$F$2:$F$151)*(Fundamentals!$F$2:$F$151&lt;Fundamentals!F60))/MAX(1,SUMPRODUCT(($B$2:$B$151=TRUE())*ISNUMBER(Fundamentals!$F$2:$F$151))))),IF(NOT(ISNUMBER(Fundamentals!J60)),50,100*(SUMPRODUCT(($B$2:$B$151=TRUE())*ISNUMBER(Fundamentals!$J$2:$J$151)*(Fundamentals!$J$2:$J$151&lt;Fundamentals!J60))/MAX(1,SUMPRODUCT(($B$2:$B$151=TRUE())*ISNUMBER(Fundamentals!$J$2:$J$151))))))</f>
        <v>50</v>
      </c>
      <c r="E60" s="5" t="n">
        <f aca="false">AVERAGE(IF(NOT(ISNUMBER(Fundamentals!H60)),50,100*(SUMPRODUCT(($B$2:$B$151=TRUE())*ISNUMBER(Fundamentals!$H$2:$H$151)*(Fundamentals!$H$2:$H$151&lt;Fundamentals!H60))/MAX(1,SUMPRODUCT(($B$2:$B$151=TRUE())*ISNUMBER(Fundamentals!$H$2:$H$151))))),IF(NOT(ISNUMBER(Fundamentals!I60)),50,100*(SUMPRODUCT(($B$2:$B$151=TRUE())*ISNUMBER(Fundamentals!$I$2:$I$151)*(Fundamentals!$I$2:$I$151&lt;Fundamentals!I60))/MAX(1,SUMPRODUCT(($B$2:$B$151=TRUE())*ISNUMBER(Fundamentals!$I$2:$I$151))))))</f>
        <v>50</v>
      </c>
      <c r="F60" s="5" t="n">
        <f aca="false">IF(Tickers!C60="Financial Services",50,IF(NOT(ISNUMBER(Fundamentals!G60)),50,100*(1-(SUMPRODUCT(($B$2:$B$151=TRUE())*ISNUMBER(Fundamentals!$G$2:$G$151)*(Fundamentals!$G$2:$G$151&lt;Fundamentals!G60))/MAX(1,SUMPRODUCT(($B$2:$B$151=TRUE())*ISNUMBER(Fundamentals!$G$2:$G$151)))))))</f>
        <v>50</v>
      </c>
      <c r="G60" s="5" t="n">
        <f aca="false">AVERAGE(C60:F60)</f>
        <v>50</v>
      </c>
      <c r="H60" s="5" t="n">
        <f aca="false">MIN(100,MAX(0,IF(NOT(ISNUMBER(PriceMetrics!K60)),50,100*(SUMPRODUCT(($B$2:$B$151=TRUE())*ISNUMBER(PriceMetrics!$K$2:$K$151)*(PriceMetrics!$K$2:$K$151&lt;PriceMetrics!K60))/MAX(1,SUMPRODUCT(($B$2:$B$151=TRUE())*ISNUMBER(PriceMetrics!$K$2:$K$151)))))+IF(ISNUMBER(PriceMetrics!L60),10*PriceMetrics!L60,0)))</f>
        <v>50</v>
      </c>
      <c r="I60" s="5" t="n">
        <f aca="false">0.6*IF(NOT(ISNUMBER(PriceMetrics!P60)),50,100*(SUMPRODUCT(($B$2:$B$151=TRUE())*ISNUMBER(PriceMetrics!$P$2:$P$151)*(PriceMetrics!$P$2:$P$151&lt;PriceMetrics!P60))/MAX(1,SUMPRODUCT(($B$2:$B$151=TRUE())*ISNUMBER(PriceMetrics!$P$2:$P$151)))))+0.4*IF(NOT(ISNUMBER(PriceMetrics!H60)),50,IF(PriceMetrics!H60&gt;70,40,IF(PriceMetrics!H60&gt;=50,100,IF(PriceMetrics!H60&gt;=35,60,30))))</f>
        <v>50</v>
      </c>
      <c r="J60" s="5" t="n">
        <f aca="false">AVERAGE(IF(NOT(ISNUMBER(PriceMetrics!F60)),50,100*(1-(SUMPRODUCT(($B$2:$B$151=TRUE())*ISNUMBER(PriceMetrics!$F$2:$F$151)*(PriceMetrics!$F$2:$F$151&lt;PriceMetrics!F60))/MAX(1,SUMPRODUCT(($B$2:$B$151=TRUE())*ISNUMBER(PriceMetrics!$F$2:$F$151)))))),IF(NOT(ISNUMBER(PriceMetrics!G60)),50,100*(1-(SUMPRODUCT(($B$2:$B$151=TRUE())*ISNUMBER(PriceMetrics!$G$2:$G$151)*(ABS(PriceMetrics!$G$2:$G$151)&lt;ABS(PriceMetrics!G60)))/MAX(1,SUMPRODUCT(($B$2:$B$151=TRUE())*ISNUMBER(PriceMetrics!$G$2:$G$151)))))))</f>
        <v>50</v>
      </c>
      <c r="K60" s="5" t="n">
        <f aca="false">AVERAGE(H60:J60)</f>
        <v>50</v>
      </c>
      <c r="L60" s="8" t="n">
        <f aca="false">Macro!$B$26</f>
        <v>53.5</v>
      </c>
      <c r="M60" s="5" t="n">
        <f aca="false">Control!$B$3*100*G60/100+Control!$B$4*K60+Control!$B$5*L60</f>
        <v>50.7</v>
      </c>
      <c r="N60" s="3" t="n">
        <f aca="false">M60+ROW()/1000000</f>
        <v>50.70006</v>
      </c>
      <c r="O60" s="5" t="n">
        <f aca="false">M60-IF(AND(Tickers!D60="SMALLCAP100",Macro!$B$26&lt;40),Control!$B$11,0)</f>
        <v>50.7</v>
      </c>
      <c r="P60" s="3" t="str">
        <f aca="false">IF(B60=FALSE(),"-",IF(O60&gt;=Control!$B$7,"BUY",IF(O60&gt;=Control!$B$8,"ACCUMULATE",IF(O60&gt;=Control!$B$9,"HOLD","AVOID"))))</f>
        <v>-</v>
      </c>
      <c r="Q60" s="3" t="str">
        <f aca="false">IF(B60=FALSE(),"",IF(OR(O60&gt;=72,O60&lt;=32),"High",IF(OR(O60&gt;=62,O60&lt;=42),"Medium","Low")))</f>
        <v/>
      </c>
      <c r="R60" s="12" t="n">
        <f aca="false">IF(P60="BUY",Control!$B$12,IF(P60="ACCUMULATE",Control!$B$13,0))</f>
        <v>0</v>
      </c>
      <c r="S60" s="3" t="str">
        <f aca="false">IF(B60=FALSE(),"",IF(T60=C60,"Rich valuation",IF(T60=E60,"Weak growth",IF(T60=F60,"Balance-sheet leverage",IF(T60=I60,"Negative momentum","High volatility/drawdown")))))</f>
        <v/>
      </c>
      <c r="T60" s="3" t="n">
        <f aca="false">MIN(C60,E60,F60,I60,J60)</f>
        <v>50</v>
      </c>
      <c r="U60" s="3" t="n">
        <f aca="false">IF(B60=TRUE(),N60,-1000+ROW()/1000000)</f>
        <v>-999.99994</v>
      </c>
    </row>
    <row r="61" customFormat="false" ht="15" hidden="false" customHeight="false" outlineLevel="0" collapsed="false">
      <c r="A61" s="7" t="str">
        <f aca="false">Tickers!A61</f>
        <v>ANGELONE</v>
      </c>
      <c r="B61" s="19" t="b">
        <f aca="false">Tickers!F61</f>
        <v>0</v>
      </c>
      <c r="C61" s="5" t="n">
        <f aca="false">AVERAGE(IF(NOT(ISNUMBER(Fundamentals!C61)),50,IF(Fundamentals!C61&lt;=0,15,100*(1-(SUMPRODUCT(($B$2:$B$151=TRUE())*ISNUMBER(Fundamentals!$C$2:$C$151)*(Fundamentals!$C$2:$C$151&gt;0)*(Fundamentals!$C$2:$C$151&lt;Fundamentals!C61))/MAX(1,SUMPRODUCT(($B$2:$B$151=TRUE())*ISNUMBER(Fundamentals!$C$2:$C$151)*(Fundamentals!$C$2:$C$151&gt;0))))))),IF(NOT(ISNUMBER(Fundamentals!E61)),50,IF(Fundamentals!E61&lt;=0,15,100*(1-(SUMPRODUCT(($B$2:$B$151=TRUE())*ISNUMBER(Fundamentals!$E$2:$E$151)*(Fundamentals!$E$2:$E$151&gt;0)*(Fundamentals!$E$2:$E$151&lt;Fundamentals!E61))/MAX(1,SUMPRODUCT(($B$2:$B$151=TRUE())*ISNUMBER(Fundamentals!$E$2:$E$151)*(Fundamentals!$E$2:$E$151&gt;0))))))))</f>
        <v>50</v>
      </c>
      <c r="D61" s="5" t="n">
        <f aca="false">AVERAGE(IF(NOT(ISNUMBER(Fundamentals!F61)),50,100*(SUMPRODUCT(($B$2:$B$151=TRUE())*ISNUMBER(Fundamentals!$F$2:$F$151)*(Fundamentals!$F$2:$F$151&lt;Fundamentals!F61))/MAX(1,SUMPRODUCT(($B$2:$B$151=TRUE())*ISNUMBER(Fundamentals!$F$2:$F$151))))),IF(NOT(ISNUMBER(Fundamentals!J61)),50,100*(SUMPRODUCT(($B$2:$B$151=TRUE())*ISNUMBER(Fundamentals!$J$2:$J$151)*(Fundamentals!$J$2:$J$151&lt;Fundamentals!J61))/MAX(1,SUMPRODUCT(($B$2:$B$151=TRUE())*ISNUMBER(Fundamentals!$J$2:$J$151))))))</f>
        <v>50</v>
      </c>
      <c r="E61" s="5" t="n">
        <f aca="false">AVERAGE(IF(NOT(ISNUMBER(Fundamentals!H61)),50,100*(SUMPRODUCT(($B$2:$B$151=TRUE())*ISNUMBER(Fundamentals!$H$2:$H$151)*(Fundamentals!$H$2:$H$151&lt;Fundamentals!H61))/MAX(1,SUMPRODUCT(($B$2:$B$151=TRUE())*ISNUMBER(Fundamentals!$H$2:$H$151))))),IF(NOT(ISNUMBER(Fundamentals!I61)),50,100*(SUMPRODUCT(($B$2:$B$151=TRUE())*ISNUMBER(Fundamentals!$I$2:$I$151)*(Fundamentals!$I$2:$I$151&lt;Fundamentals!I61))/MAX(1,SUMPRODUCT(($B$2:$B$151=TRUE())*ISNUMBER(Fundamentals!$I$2:$I$151))))))</f>
        <v>50</v>
      </c>
      <c r="F61" s="5" t="n">
        <f aca="false">IF(Tickers!C61="Financial Services",50,IF(NOT(ISNUMBER(Fundamentals!G61)),50,100*(1-(SUMPRODUCT(($B$2:$B$151=TRUE())*ISNUMBER(Fundamentals!$G$2:$G$151)*(Fundamentals!$G$2:$G$151&lt;Fundamentals!G61))/MAX(1,SUMPRODUCT(($B$2:$B$151=TRUE())*ISNUMBER(Fundamentals!$G$2:$G$151)))))))</f>
        <v>50</v>
      </c>
      <c r="G61" s="5" t="n">
        <f aca="false">AVERAGE(C61:F61)</f>
        <v>50</v>
      </c>
      <c r="H61" s="5" t="n">
        <f aca="false">MIN(100,MAX(0,IF(NOT(ISNUMBER(PriceMetrics!K61)),50,100*(SUMPRODUCT(($B$2:$B$151=TRUE())*ISNUMBER(PriceMetrics!$K$2:$K$151)*(PriceMetrics!$K$2:$K$151&lt;PriceMetrics!K61))/MAX(1,SUMPRODUCT(($B$2:$B$151=TRUE())*ISNUMBER(PriceMetrics!$K$2:$K$151)))))+IF(ISNUMBER(PriceMetrics!L61),10*PriceMetrics!L61,0)))</f>
        <v>50</v>
      </c>
      <c r="I61" s="5" t="n">
        <f aca="false">0.6*IF(NOT(ISNUMBER(PriceMetrics!P61)),50,100*(SUMPRODUCT(($B$2:$B$151=TRUE())*ISNUMBER(PriceMetrics!$P$2:$P$151)*(PriceMetrics!$P$2:$P$151&lt;PriceMetrics!P61))/MAX(1,SUMPRODUCT(($B$2:$B$151=TRUE())*ISNUMBER(PriceMetrics!$P$2:$P$151)))))+0.4*IF(NOT(ISNUMBER(PriceMetrics!H61)),50,IF(PriceMetrics!H61&gt;70,40,IF(PriceMetrics!H61&gt;=50,100,IF(PriceMetrics!H61&gt;=35,60,30))))</f>
        <v>50</v>
      </c>
      <c r="J61" s="5" t="n">
        <f aca="false">AVERAGE(IF(NOT(ISNUMBER(PriceMetrics!F61)),50,100*(1-(SUMPRODUCT(($B$2:$B$151=TRUE())*ISNUMBER(PriceMetrics!$F$2:$F$151)*(PriceMetrics!$F$2:$F$151&lt;PriceMetrics!F61))/MAX(1,SUMPRODUCT(($B$2:$B$151=TRUE())*ISNUMBER(PriceMetrics!$F$2:$F$151)))))),IF(NOT(ISNUMBER(PriceMetrics!G61)),50,100*(1-(SUMPRODUCT(($B$2:$B$151=TRUE())*ISNUMBER(PriceMetrics!$G$2:$G$151)*(ABS(PriceMetrics!$G$2:$G$151)&lt;ABS(PriceMetrics!G61)))/MAX(1,SUMPRODUCT(($B$2:$B$151=TRUE())*ISNUMBER(PriceMetrics!$G$2:$G$151)))))))</f>
        <v>50</v>
      </c>
      <c r="K61" s="5" t="n">
        <f aca="false">AVERAGE(H61:J61)</f>
        <v>50</v>
      </c>
      <c r="L61" s="8" t="n">
        <f aca="false">Macro!$B$26</f>
        <v>53.5</v>
      </c>
      <c r="M61" s="5" t="n">
        <f aca="false">Control!$B$3*100*G61/100+Control!$B$4*K61+Control!$B$5*L61</f>
        <v>50.7</v>
      </c>
      <c r="N61" s="3" t="n">
        <f aca="false">M61+ROW()/1000000</f>
        <v>50.700061</v>
      </c>
      <c r="O61" s="5" t="n">
        <f aca="false">M61-IF(AND(Tickers!D61="SMALLCAP100",Macro!$B$26&lt;40),Control!$B$11,0)</f>
        <v>50.7</v>
      </c>
      <c r="P61" s="3" t="str">
        <f aca="false">IF(B61=FALSE(),"-",IF(O61&gt;=Control!$B$7,"BUY",IF(O61&gt;=Control!$B$8,"ACCUMULATE",IF(O61&gt;=Control!$B$9,"HOLD","AVOID"))))</f>
        <v>-</v>
      </c>
      <c r="Q61" s="3" t="str">
        <f aca="false">IF(B61=FALSE(),"",IF(OR(O61&gt;=72,O61&lt;=32),"High",IF(OR(O61&gt;=62,O61&lt;=42),"Medium","Low")))</f>
        <v/>
      </c>
      <c r="R61" s="12" t="n">
        <f aca="false">IF(P61="BUY",Control!$B$12,IF(P61="ACCUMULATE",Control!$B$13,0))</f>
        <v>0</v>
      </c>
      <c r="S61" s="3" t="str">
        <f aca="false">IF(B61=FALSE(),"",IF(T61=C61,"Rich valuation",IF(T61=E61,"Weak growth",IF(T61=F61,"Balance-sheet leverage",IF(T61=I61,"Negative momentum","High volatility/drawdown")))))</f>
        <v/>
      </c>
      <c r="T61" s="3" t="n">
        <f aca="false">MIN(C61,E61,F61,I61,J61)</f>
        <v>50</v>
      </c>
      <c r="U61" s="3" t="n">
        <f aca="false">IF(B61=TRUE(),N61,-1000+ROW()/1000000)</f>
        <v>-999.999939</v>
      </c>
    </row>
    <row r="62" customFormat="false" ht="15" hidden="false" customHeight="false" outlineLevel="0" collapsed="false">
      <c r="A62" s="7" t="str">
        <f aca="false">Tickers!A62</f>
        <v>APTUS</v>
      </c>
      <c r="B62" s="19" t="b">
        <f aca="false">Tickers!F62</f>
        <v>0</v>
      </c>
      <c r="C62" s="5" t="n">
        <f aca="false">AVERAGE(IF(NOT(ISNUMBER(Fundamentals!C62)),50,IF(Fundamentals!C62&lt;=0,15,100*(1-(SUMPRODUCT(($B$2:$B$151=TRUE())*ISNUMBER(Fundamentals!$C$2:$C$151)*(Fundamentals!$C$2:$C$151&gt;0)*(Fundamentals!$C$2:$C$151&lt;Fundamentals!C62))/MAX(1,SUMPRODUCT(($B$2:$B$151=TRUE())*ISNUMBER(Fundamentals!$C$2:$C$151)*(Fundamentals!$C$2:$C$151&gt;0))))))),IF(NOT(ISNUMBER(Fundamentals!E62)),50,IF(Fundamentals!E62&lt;=0,15,100*(1-(SUMPRODUCT(($B$2:$B$151=TRUE())*ISNUMBER(Fundamentals!$E$2:$E$151)*(Fundamentals!$E$2:$E$151&gt;0)*(Fundamentals!$E$2:$E$151&lt;Fundamentals!E62))/MAX(1,SUMPRODUCT(($B$2:$B$151=TRUE())*ISNUMBER(Fundamentals!$E$2:$E$151)*(Fundamentals!$E$2:$E$151&gt;0))))))))</f>
        <v>50</v>
      </c>
      <c r="D62" s="5" t="n">
        <f aca="false">AVERAGE(IF(NOT(ISNUMBER(Fundamentals!F62)),50,100*(SUMPRODUCT(($B$2:$B$151=TRUE())*ISNUMBER(Fundamentals!$F$2:$F$151)*(Fundamentals!$F$2:$F$151&lt;Fundamentals!F62))/MAX(1,SUMPRODUCT(($B$2:$B$151=TRUE())*ISNUMBER(Fundamentals!$F$2:$F$151))))),IF(NOT(ISNUMBER(Fundamentals!J62)),50,100*(SUMPRODUCT(($B$2:$B$151=TRUE())*ISNUMBER(Fundamentals!$J$2:$J$151)*(Fundamentals!$J$2:$J$151&lt;Fundamentals!J62))/MAX(1,SUMPRODUCT(($B$2:$B$151=TRUE())*ISNUMBER(Fundamentals!$J$2:$J$151))))))</f>
        <v>50</v>
      </c>
      <c r="E62" s="5" t="n">
        <f aca="false">AVERAGE(IF(NOT(ISNUMBER(Fundamentals!H62)),50,100*(SUMPRODUCT(($B$2:$B$151=TRUE())*ISNUMBER(Fundamentals!$H$2:$H$151)*(Fundamentals!$H$2:$H$151&lt;Fundamentals!H62))/MAX(1,SUMPRODUCT(($B$2:$B$151=TRUE())*ISNUMBER(Fundamentals!$H$2:$H$151))))),IF(NOT(ISNUMBER(Fundamentals!I62)),50,100*(SUMPRODUCT(($B$2:$B$151=TRUE())*ISNUMBER(Fundamentals!$I$2:$I$151)*(Fundamentals!$I$2:$I$151&lt;Fundamentals!I62))/MAX(1,SUMPRODUCT(($B$2:$B$151=TRUE())*ISNUMBER(Fundamentals!$I$2:$I$151))))))</f>
        <v>50</v>
      </c>
      <c r="F62" s="5" t="n">
        <f aca="false">IF(Tickers!C62="Financial Services",50,IF(NOT(ISNUMBER(Fundamentals!G62)),50,100*(1-(SUMPRODUCT(($B$2:$B$151=TRUE())*ISNUMBER(Fundamentals!$G$2:$G$151)*(Fundamentals!$G$2:$G$151&lt;Fundamentals!G62))/MAX(1,SUMPRODUCT(($B$2:$B$151=TRUE())*ISNUMBER(Fundamentals!$G$2:$G$151)))))))</f>
        <v>50</v>
      </c>
      <c r="G62" s="5" t="n">
        <f aca="false">AVERAGE(C62:F62)</f>
        <v>50</v>
      </c>
      <c r="H62" s="5" t="n">
        <f aca="false">MIN(100,MAX(0,IF(NOT(ISNUMBER(PriceMetrics!K62)),50,100*(SUMPRODUCT(($B$2:$B$151=TRUE())*ISNUMBER(PriceMetrics!$K$2:$K$151)*(PriceMetrics!$K$2:$K$151&lt;PriceMetrics!K62))/MAX(1,SUMPRODUCT(($B$2:$B$151=TRUE())*ISNUMBER(PriceMetrics!$K$2:$K$151)))))+IF(ISNUMBER(PriceMetrics!L62),10*PriceMetrics!L62,0)))</f>
        <v>50</v>
      </c>
      <c r="I62" s="5" t="n">
        <f aca="false">0.6*IF(NOT(ISNUMBER(PriceMetrics!P62)),50,100*(SUMPRODUCT(($B$2:$B$151=TRUE())*ISNUMBER(PriceMetrics!$P$2:$P$151)*(PriceMetrics!$P$2:$P$151&lt;PriceMetrics!P62))/MAX(1,SUMPRODUCT(($B$2:$B$151=TRUE())*ISNUMBER(PriceMetrics!$P$2:$P$151)))))+0.4*IF(NOT(ISNUMBER(PriceMetrics!H62)),50,IF(PriceMetrics!H62&gt;70,40,IF(PriceMetrics!H62&gt;=50,100,IF(PriceMetrics!H62&gt;=35,60,30))))</f>
        <v>50</v>
      </c>
      <c r="J62" s="5" t="n">
        <f aca="false">AVERAGE(IF(NOT(ISNUMBER(PriceMetrics!F62)),50,100*(1-(SUMPRODUCT(($B$2:$B$151=TRUE())*ISNUMBER(PriceMetrics!$F$2:$F$151)*(PriceMetrics!$F$2:$F$151&lt;PriceMetrics!F62))/MAX(1,SUMPRODUCT(($B$2:$B$151=TRUE())*ISNUMBER(PriceMetrics!$F$2:$F$151)))))),IF(NOT(ISNUMBER(PriceMetrics!G62)),50,100*(1-(SUMPRODUCT(($B$2:$B$151=TRUE())*ISNUMBER(PriceMetrics!$G$2:$G$151)*(ABS(PriceMetrics!$G$2:$G$151)&lt;ABS(PriceMetrics!G62)))/MAX(1,SUMPRODUCT(($B$2:$B$151=TRUE())*ISNUMBER(PriceMetrics!$G$2:$G$151)))))))</f>
        <v>50</v>
      </c>
      <c r="K62" s="5" t="n">
        <f aca="false">AVERAGE(H62:J62)</f>
        <v>50</v>
      </c>
      <c r="L62" s="8" t="n">
        <f aca="false">Macro!$B$26</f>
        <v>53.5</v>
      </c>
      <c r="M62" s="5" t="n">
        <f aca="false">Control!$B$3*100*G62/100+Control!$B$4*K62+Control!$B$5*L62</f>
        <v>50.7</v>
      </c>
      <c r="N62" s="3" t="n">
        <f aca="false">M62+ROW()/1000000</f>
        <v>50.700062</v>
      </c>
      <c r="O62" s="5" t="n">
        <f aca="false">M62-IF(AND(Tickers!D62="SMALLCAP100",Macro!$B$26&lt;40),Control!$B$11,0)</f>
        <v>50.7</v>
      </c>
      <c r="P62" s="3" t="str">
        <f aca="false">IF(B62=FALSE(),"-",IF(O62&gt;=Control!$B$7,"BUY",IF(O62&gt;=Control!$B$8,"ACCUMULATE",IF(O62&gt;=Control!$B$9,"HOLD","AVOID"))))</f>
        <v>-</v>
      </c>
      <c r="Q62" s="3" t="str">
        <f aca="false">IF(B62=FALSE(),"",IF(OR(O62&gt;=72,O62&lt;=32),"High",IF(OR(O62&gt;=62,O62&lt;=42),"Medium","Low")))</f>
        <v/>
      </c>
      <c r="R62" s="12" t="n">
        <f aca="false">IF(P62="BUY",Control!$B$12,IF(P62="ACCUMULATE",Control!$B$13,0))</f>
        <v>0</v>
      </c>
      <c r="S62" s="3" t="str">
        <f aca="false">IF(B62=FALSE(),"",IF(T62=C62,"Rich valuation",IF(T62=E62,"Weak growth",IF(T62=F62,"Balance-sheet leverage",IF(T62=I62,"Negative momentum","High volatility/drawdown")))))</f>
        <v/>
      </c>
      <c r="T62" s="3" t="n">
        <f aca="false">MIN(C62,E62,F62,I62,J62)</f>
        <v>50</v>
      </c>
      <c r="U62" s="3" t="n">
        <f aca="false">IF(B62=TRUE(),N62,-1000+ROW()/1000000)</f>
        <v>-999.999938</v>
      </c>
    </row>
    <row r="63" customFormat="false" ht="15" hidden="false" customHeight="false" outlineLevel="0" collapsed="false">
      <c r="A63" s="7" t="str">
        <f aca="false">Tickers!A63</f>
        <v>ASTERDM</v>
      </c>
      <c r="B63" s="19" t="b">
        <f aca="false">Tickers!F63</f>
        <v>0</v>
      </c>
      <c r="C63" s="5" t="n">
        <f aca="false">AVERAGE(IF(NOT(ISNUMBER(Fundamentals!C63)),50,IF(Fundamentals!C63&lt;=0,15,100*(1-(SUMPRODUCT(($B$2:$B$151=TRUE())*ISNUMBER(Fundamentals!$C$2:$C$151)*(Fundamentals!$C$2:$C$151&gt;0)*(Fundamentals!$C$2:$C$151&lt;Fundamentals!C63))/MAX(1,SUMPRODUCT(($B$2:$B$151=TRUE())*ISNUMBER(Fundamentals!$C$2:$C$151)*(Fundamentals!$C$2:$C$151&gt;0))))))),IF(NOT(ISNUMBER(Fundamentals!E63)),50,IF(Fundamentals!E63&lt;=0,15,100*(1-(SUMPRODUCT(($B$2:$B$151=TRUE())*ISNUMBER(Fundamentals!$E$2:$E$151)*(Fundamentals!$E$2:$E$151&gt;0)*(Fundamentals!$E$2:$E$151&lt;Fundamentals!E63))/MAX(1,SUMPRODUCT(($B$2:$B$151=TRUE())*ISNUMBER(Fundamentals!$E$2:$E$151)*(Fundamentals!$E$2:$E$151&gt;0))))))))</f>
        <v>50</v>
      </c>
      <c r="D63" s="5" t="n">
        <f aca="false">AVERAGE(IF(NOT(ISNUMBER(Fundamentals!F63)),50,100*(SUMPRODUCT(($B$2:$B$151=TRUE())*ISNUMBER(Fundamentals!$F$2:$F$151)*(Fundamentals!$F$2:$F$151&lt;Fundamentals!F63))/MAX(1,SUMPRODUCT(($B$2:$B$151=TRUE())*ISNUMBER(Fundamentals!$F$2:$F$151))))),IF(NOT(ISNUMBER(Fundamentals!J63)),50,100*(SUMPRODUCT(($B$2:$B$151=TRUE())*ISNUMBER(Fundamentals!$J$2:$J$151)*(Fundamentals!$J$2:$J$151&lt;Fundamentals!J63))/MAX(1,SUMPRODUCT(($B$2:$B$151=TRUE())*ISNUMBER(Fundamentals!$J$2:$J$151))))))</f>
        <v>50</v>
      </c>
      <c r="E63" s="5" t="n">
        <f aca="false">AVERAGE(IF(NOT(ISNUMBER(Fundamentals!H63)),50,100*(SUMPRODUCT(($B$2:$B$151=TRUE())*ISNUMBER(Fundamentals!$H$2:$H$151)*(Fundamentals!$H$2:$H$151&lt;Fundamentals!H63))/MAX(1,SUMPRODUCT(($B$2:$B$151=TRUE())*ISNUMBER(Fundamentals!$H$2:$H$151))))),IF(NOT(ISNUMBER(Fundamentals!I63)),50,100*(SUMPRODUCT(($B$2:$B$151=TRUE())*ISNUMBER(Fundamentals!$I$2:$I$151)*(Fundamentals!$I$2:$I$151&lt;Fundamentals!I63))/MAX(1,SUMPRODUCT(($B$2:$B$151=TRUE())*ISNUMBER(Fundamentals!$I$2:$I$151))))))</f>
        <v>50</v>
      </c>
      <c r="F63" s="5" t="n">
        <f aca="false">IF(Tickers!C63="Financial Services",50,IF(NOT(ISNUMBER(Fundamentals!G63)),50,100*(1-(SUMPRODUCT(($B$2:$B$151=TRUE())*ISNUMBER(Fundamentals!$G$2:$G$151)*(Fundamentals!$G$2:$G$151&lt;Fundamentals!G63))/MAX(1,SUMPRODUCT(($B$2:$B$151=TRUE())*ISNUMBER(Fundamentals!$G$2:$G$151)))))))</f>
        <v>50</v>
      </c>
      <c r="G63" s="5" t="n">
        <f aca="false">AVERAGE(C63:F63)</f>
        <v>50</v>
      </c>
      <c r="H63" s="5" t="n">
        <f aca="false">MIN(100,MAX(0,IF(NOT(ISNUMBER(PriceMetrics!K63)),50,100*(SUMPRODUCT(($B$2:$B$151=TRUE())*ISNUMBER(PriceMetrics!$K$2:$K$151)*(PriceMetrics!$K$2:$K$151&lt;PriceMetrics!K63))/MAX(1,SUMPRODUCT(($B$2:$B$151=TRUE())*ISNUMBER(PriceMetrics!$K$2:$K$151)))))+IF(ISNUMBER(PriceMetrics!L63),10*PriceMetrics!L63,0)))</f>
        <v>50</v>
      </c>
      <c r="I63" s="5" t="n">
        <f aca="false">0.6*IF(NOT(ISNUMBER(PriceMetrics!P63)),50,100*(SUMPRODUCT(($B$2:$B$151=TRUE())*ISNUMBER(PriceMetrics!$P$2:$P$151)*(PriceMetrics!$P$2:$P$151&lt;PriceMetrics!P63))/MAX(1,SUMPRODUCT(($B$2:$B$151=TRUE())*ISNUMBER(PriceMetrics!$P$2:$P$151)))))+0.4*IF(NOT(ISNUMBER(PriceMetrics!H63)),50,IF(PriceMetrics!H63&gt;70,40,IF(PriceMetrics!H63&gt;=50,100,IF(PriceMetrics!H63&gt;=35,60,30))))</f>
        <v>50</v>
      </c>
      <c r="J63" s="5" t="n">
        <f aca="false">AVERAGE(IF(NOT(ISNUMBER(PriceMetrics!F63)),50,100*(1-(SUMPRODUCT(($B$2:$B$151=TRUE())*ISNUMBER(PriceMetrics!$F$2:$F$151)*(PriceMetrics!$F$2:$F$151&lt;PriceMetrics!F63))/MAX(1,SUMPRODUCT(($B$2:$B$151=TRUE())*ISNUMBER(PriceMetrics!$F$2:$F$151)))))),IF(NOT(ISNUMBER(PriceMetrics!G63)),50,100*(1-(SUMPRODUCT(($B$2:$B$151=TRUE())*ISNUMBER(PriceMetrics!$G$2:$G$151)*(ABS(PriceMetrics!$G$2:$G$151)&lt;ABS(PriceMetrics!G63)))/MAX(1,SUMPRODUCT(($B$2:$B$151=TRUE())*ISNUMBER(PriceMetrics!$G$2:$G$151)))))))</f>
        <v>50</v>
      </c>
      <c r="K63" s="5" t="n">
        <f aca="false">AVERAGE(H63:J63)</f>
        <v>50</v>
      </c>
      <c r="L63" s="8" t="n">
        <f aca="false">Macro!$B$26</f>
        <v>53.5</v>
      </c>
      <c r="M63" s="5" t="n">
        <f aca="false">Control!$B$3*100*G63/100+Control!$B$4*K63+Control!$B$5*L63</f>
        <v>50.7</v>
      </c>
      <c r="N63" s="3" t="n">
        <f aca="false">M63+ROW()/1000000</f>
        <v>50.700063</v>
      </c>
      <c r="O63" s="5" t="n">
        <f aca="false">M63-IF(AND(Tickers!D63="SMALLCAP100",Macro!$B$26&lt;40),Control!$B$11,0)</f>
        <v>50.7</v>
      </c>
      <c r="P63" s="3" t="str">
        <f aca="false">IF(B63=FALSE(),"-",IF(O63&gt;=Control!$B$7,"BUY",IF(O63&gt;=Control!$B$8,"ACCUMULATE",IF(O63&gt;=Control!$B$9,"HOLD","AVOID"))))</f>
        <v>-</v>
      </c>
      <c r="Q63" s="3" t="str">
        <f aca="false">IF(B63=FALSE(),"",IF(OR(O63&gt;=72,O63&lt;=32),"High",IF(OR(O63&gt;=62,O63&lt;=42),"Medium","Low")))</f>
        <v/>
      </c>
      <c r="R63" s="12" t="n">
        <f aca="false">IF(P63="BUY",Control!$B$12,IF(P63="ACCUMULATE",Control!$B$13,0))</f>
        <v>0</v>
      </c>
      <c r="S63" s="3" t="str">
        <f aca="false">IF(B63=FALSE(),"",IF(T63=C63,"Rich valuation",IF(T63=E63,"Weak growth",IF(T63=F63,"Balance-sheet leverage",IF(T63=I63,"Negative momentum","High volatility/drawdown")))))</f>
        <v/>
      </c>
      <c r="T63" s="3" t="n">
        <f aca="false">MIN(C63,E63,F63,I63,J63)</f>
        <v>50</v>
      </c>
      <c r="U63" s="3" t="n">
        <f aca="false">IF(B63=TRUE(),N63,-1000+ROW()/1000000)</f>
        <v>-999.999937</v>
      </c>
    </row>
    <row r="64" customFormat="false" ht="15" hidden="false" customHeight="false" outlineLevel="0" collapsed="false">
      <c r="A64" s="7" t="str">
        <f aca="false">Tickers!A64</f>
        <v>ATHERENERG</v>
      </c>
      <c r="B64" s="19" t="b">
        <f aca="false">Tickers!F64</f>
        <v>0</v>
      </c>
      <c r="C64" s="5" t="n">
        <f aca="false">AVERAGE(IF(NOT(ISNUMBER(Fundamentals!C64)),50,IF(Fundamentals!C64&lt;=0,15,100*(1-(SUMPRODUCT(($B$2:$B$151=TRUE())*ISNUMBER(Fundamentals!$C$2:$C$151)*(Fundamentals!$C$2:$C$151&gt;0)*(Fundamentals!$C$2:$C$151&lt;Fundamentals!C64))/MAX(1,SUMPRODUCT(($B$2:$B$151=TRUE())*ISNUMBER(Fundamentals!$C$2:$C$151)*(Fundamentals!$C$2:$C$151&gt;0))))))),IF(NOT(ISNUMBER(Fundamentals!E64)),50,IF(Fundamentals!E64&lt;=0,15,100*(1-(SUMPRODUCT(($B$2:$B$151=TRUE())*ISNUMBER(Fundamentals!$E$2:$E$151)*(Fundamentals!$E$2:$E$151&gt;0)*(Fundamentals!$E$2:$E$151&lt;Fundamentals!E64))/MAX(1,SUMPRODUCT(($B$2:$B$151=TRUE())*ISNUMBER(Fundamentals!$E$2:$E$151)*(Fundamentals!$E$2:$E$151&gt;0))))))))</f>
        <v>50</v>
      </c>
      <c r="D64" s="5" t="n">
        <f aca="false">AVERAGE(IF(NOT(ISNUMBER(Fundamentals!F64)),50,100*(SUMPRODUCT(($B$2:$B$151=TRUE())*ISNUMBER(Fundamentals!$F$2:$F$151)*(Fundamentals!$F$2:$F$151&lt;Fundamentals!F64))/MAX(1,SUMPRODUCT(($B$2:$B$151=TRUE())*ISNUMBER(Fundamentals!$F$2:$F$151))))),IF(NOT(ISNUMBER(Fundamentals!J64)),50,100*(SUMPRODUCT(($B$2:$B$151=TRUE())*ISNUMBER(Fundamentals!$J$2:$J$151)*(Fundamentals!$J$2:$J$151&lt;Fundamentals!J64))/MAX(1,SUMPRODUCT(($B$2:$B$151=TRUE())*ISNUMBER(Fundamentals!$J$2:$J$151))))))</f>
        <v>50</v>
      </c>
      <c r="E64" s="5" t="n">
        <f aca="false">AVERAGE(IF(NOT(ISNUMBER(Fundamentals!H64)),50,100*(SUMPRODUCT(($B$2:$B$151=TRUE())*ISNUMBER(Fundamentals!$H$2:$H$151)*(Fundamentals!$H$2:$H$151&lt;Fundamentals!H64))/MAX(1,SUMPRODUCT(($B$2:$B$151=TRUE())*ISNUMBER(Fundamentals!$H$2:$H$151))))),IF(NOT(ISNUMBER(Fundamentals!I64)),50,100*(SUMPRODUCT(($B$2:$B$151=TRUE())*ISNUMBER(Fundamentals!$I$2:$I$151)*(Fundamentals!$I$2:$I$151&lt;Fundamentals!I64))/MAX(1,SUMPRODUCT(($B$2:$B$151=TRUE())*ISNUMBER(Fundamentals!$I$2:$I$151))))))</f>
        <v>50</v>
      </c>
      <c r="F64" s="5" t="n">
        <f aca="false">IF(Tickers!C64="Financial Services",50,IF(NOT(ISNUMBER(Fundamentals!G64)),50,100*(1-(SUMPRODUCT(($B$2:$B$151=TRUE())*ISNUMBER(Fundamentals!$G$2:$G$151)*(Fundamentals!$G$2:$G$151&lt;Fundamentals!G64))/MAX(1,SUMPRODUCT(($B$2:$B$151=TRUE())*ISNUMBER(Fundamentals!$G$2:$G$151)))))))</f>
        <v>50</v>
      </c>
      <c r="G64" s="5" t="n">
        <f aca="false">AVERAGE(C64:F64)</f>
        <v>50</v>
      </c>
      <c r="H64" s="5" t="n">
        <f aca="false">MIN(100,MAX(0,IF(NOT(ISNUMBER(PriceMetrics!K64)),50,100*(SUMPRODUCT(($B$2:$B$151=TRUE())*ISNUMBER(PriceMetrics!$K$2:$K$151)*(PriceMetrics!$K$2:$K$151&lt;PriceMetrics!K64))/MAX(1,SUMPRODUCT(($B$2:$B$151=TRUE())*ISNUMBER(PriceMetrics!$K$2:$K$151)))))+IF(ISNUMBER(PriceMetrics!L64),10*PriceMetrics!L64,0)))</f>
        <v>50</v>
      </c>
      <c r="I64" s="5" t="n">
        <f aca="false">0.6*IF(NOT(ISNUMBER(PriceMetrics!P64)),50,100*(SUMPRODUCT(($B$2:$B$151=TRUE())*ISNUMBER(PriceMetrics!$P$2:$P$151)*(PriceMetrics!$P$2:$P$151&lt;PriceMetrics!P64))/MAX(1,SUMPRODUCT(($B$2:$B$151=TRUE())*ISNUMBER(PriceMetrics!$P$2:$P$151)))))+0.4*IF(NOT(ISNUMBER(PriceMetrics!H64)),50,IF(PriceMetrics!H64&gt;70,40,IF(PriceMetrics!H64&gt;=50,100,IF(PriceMetrics!H64&gt;=35,60,30))))</f>
        <v>50</v>
      </c>
      <c r="J64" s="5" t="n">
        <f aca="false">AVERAGE(IF(NOT(ISNUMBER(PriceMetrics!F64)),50,100*(1-(SUMPRODUCT(($B$2:$B$151=TRUE())*ISNUMBER(PriceMetrics!$F$2:$F$151)*(PriceMetrics!$F$2:$F$151&lt;PriceMetrics!F64))/MAX(1,SUMPRODUCT(($B$2:$B$151=TRUE())*ISNUMBER(PriceMetrics!$F$2:$F$151)))))),IF(NOT(ISNUMBER(PriceMetrics!G64)),50,100*(1-(SUMPRODUCT(($B$2:$B$151=TRUE())*ISNUMBER(PriceMetrics!$G$2:$G$151)*(ABS(PriceMetrics!$G$2:$G$151)&lt;ABS(PriceMetrics!G64)))/MAX(1,SUMPRODUCT(($B$2:$B$151=TRUE())*ISNUMBER(PriceMetrics!$G$2:$G$151)))))))</f>
        <v>50</v>
      </c>
      <c r="K64" s="5" t="n">
        <f aca="false">AVERAGE(H64:J64)</f>
        <v>50</v>
      </c>
      <c r="L64" s="8" t="n">
        <f aca="false">Macro!$B$26</f>
        <v>53.5</v>
      </c>
      <c r="M64" s="5" t="n">
        <f aca="false">Control!$B$3*100*G64/100+Control!$B$4*K64+Control!$B$5*L64</f>
        <v>50.7</v>
      </c>
      <c r="N64" s="3" t="n">
        <f aca="false">M64+ROW()/1000000</f>
        <v>50.700064</v>
      </c>
      <c r="O64" s="5" t="n">
        <f aca="false">M64-IF(AND(Tickers!D64="SMALLCAP100",Macro!$B$26&lt;40),Control!$B$11,0)</f>
        <v>50.7</v>
      </c>
      <c r="P64" s="3" t="str">
        <f aca="false">IF(B64=FALSE(),"-",IF(O64&gt;=Control!$B$7,"BUY",IF(O64&gt;=Control!$B$8,"ACCUMULATE",IF(O64&gt;=Control!$B$9,"HOLD","AVOID"))))</f>
        <v>-</v>
      </c>
      <c r="Q64" s="3" t="str">
        <f aca="false">IF(B64=FALSE(),"",IF(OR(O64&gt;=72,O64&lt;=32),"High",IF(OR(O64&gt;=62,O64&lt;=42),"Medium","Low")))</f>
        <v/>
      </c>
      <c r="R64" s="12" t="n">
        <f aca="false">IF(P64="BUY",Control!$B$12,IF(P64="ACCUMULATE",Control!$B$13,0))</f>
        <v>0</v>
      </c>
      <c r="S64" s="3" t="str">
        <f aca="false">IF(B64=FALSE(),"",IF(T64=C64,"Rich valuation",IF(T64=E64,"Weak growth",IF(T64=F64,"Balance-sheet leverage",IF(T64=I64,"Negative momentum","High volatility/drawdown")))))</f>
        <v/>
      </c>
      <c r="T64" s="3" t="n">
        <f aca="false">MIN(C64,E64,F64,I64,J64)</f>
        <v>50</v>
      </c>
      <c r="U64" s="3" t="n">
        <f aca="false">IF(B64=TRUE(),N64,-1000+ROW()/1000000)</f>
        <v>-999.999936</v>
      </c>
    </row>
    <row r="65" customFormat="false" ht="15" hidden="false" customHeight="false" outlineLevel="0" collapsed="false">
      <c r="A65" s="7" t="str">
        <f aca="false">Tickers!A65</f>
        <v>BEML</v>
      </c>
      <c r="B65" s="19" t="b">
        <f aca="false">Tickers!F65</f>
        <v>0</v>
      </c>
      <c r="C65" s="5" t="n">
        <f aca="false">AVERAGE(IF(NOT(ISNUMBER(Fundamentals!C65)),50,IF(Fundamentals!C65&lt;=0,15,100*(1-(SUMPRODUCT(($B$2:$B$151=TRUE())*ISNUMBER(Fundamentals!$C$2:$C$151)*(Fundamentals!$C$2:$C$151&gt;0)*(Fundamentals!$C$2:$C$151&lt;Fundamentals!C65))/MAX(1,SUMPRODUCT(($B$2:$B$151=TRUE())*ISNUMBER(Fundamentals!$C$2:$C$151)*(Fundamentals!$C$2:$C$151&gt;0))))))),IF(NOT(ISNUMBER(Fundamentals!E65)),50,IF(Fundamentals!E65&lt;=0,15,100*(1-(SUMPRODUCT(($B$2:$B$151=TRUE())*ISNUMBER(Fundamentals!$E$2:$E$151)*(Fundamentals!$E$2:$E$151&gt;0)*(Fundamentals!$E$2:$E$151&lt;Fundamentals!E65))/MAX(1,SUMPRODUCT(($B$2:$B$151=TRUE())*ISNUMBER(Fundamentals!$E$2:$E$151)*(Fundamentals!$E$2:$E$151&gt;0))))))))</f>
        <v>50</v>
      </c>
      <c r="D65" s="5" t="n">
        <f aca="false">AVERAGE(IF(NOT(ISNUMBER(Fundamentals!F65)),50,100*(SUMPRODUCT(($B$2:$B$151=TRUE())*ISNUMBER(Fundamentals!$F$2:$F$151)*(Fundamentals!$F$2:$F$151&lt;Fundamentals!F65))/MAX(1,SUMPRODUCT(($B$2:$B$151=TRUE())*ISNUMBER(Fundamentals!$F$2:$F$151))))),IF(NOT(ISNUMBER(Fundamentals!J65)),50,100*(SUMPRODUCT(($B$2:$B$151=TRUE())*ISNUMBER(Fundamentals!$J$2:$J$151)*(Fundamentals!$J$2:$J$151&lt;Fundamentals!J65))/MAX(1,SUMPRODUCT(($B$2:$B$151=TRUE())*ISNUMBER(Fundamentals!$J$2:$J$151))))))</f>
        <v>50</v>
      </c>
      <c r="E65" s="5" t="n">
        <f aca="false">AVERAGE(IF(NOT(ISNUMBER(Fundamentals!H65)),50,100*(SUMPRODUCT(($B$2:$B$151=TRUE())*ISNUMBER(Fundamentals!$H$2:$H$151)*(Fundamentals!$H$2:$H$151&lt;Fundamentals!H65))/MAX(1,SUMPRODUCT(($B$2:$B$151=TRUE())*ISNUMBER(Fundamentals!$H$2:$H$151))))),IF(NOT(ISNUMBER(Fundamentals!I65)),50,100*(SUMPRODUCT(($B$2:$B$151=TRUE())*ISNUMBER(Fundamentals!$I$2:$I$151)*(Fundamentals!$I$2:$I$151&lt;Fundamentals!I65))/MAX(1,SUMPRODUCT(($B$2:$B$151=TRUE())*ISNUMBER(Fundamentals!$I$2:$I$151))))))</f>
        <v>50</v>
      </c>
      <c r="F65" s="5" t="n">
        <f aca="false">IF(Tickers!C65="Financial Services",50,IF(NOT(ISNUMBER(Fundamentals!G65)),50,100*(1-(SUMPRODUCT(($B$2:$B$151=TRUE())*ISNUMBER(Fundamentals!$G$2:$G$151)*(Fundamentals!$G$2:$G$151&lt;Fundamentals!G65))/MAX(1,SUMPRODUCT(($B$2:$B$151=TRUE())*ISNUMBER(Fundamentals!$G$2:$G$151)))))))</f>
        <v>50</v>
      </c>
      <c r="G65" s="5" t="n">
        <f aca="false">AVERAGE(C65:F65)</f>
        <v>50</v>
      </c>
      <c r="H65" s="5" t="n">
        <f aca="false">MIN(100,MAX(0,IF(NOT(ISNUMBER(PriceMetrics!K65)),50,100*(SUMPRODUCT(($B$2:$B$151=TRUE())*ISNUMBER(PriceMetrics!$K$2:$K$151)*(PriceMetrics!$K$2:$K$151&lt;PriceMetrics!K65))/MAX(1,SUMPRODUCT(($B$2:$B$151=TRUE())*ISNUMBER(PriceMetrics!$K$2:$K$151)))))+IF(ISNUMBER(PriceMetrics!L65),10*PriceMetrics!L65,0)))</f>
        <v>50</v>
      </c>
      <c r="I65" s="5" t="n">
        <f aca="false">0.6*IF(NOT(ISNUMBER(PriceMetrics!P65)),50,100*(SUMPRODUCT(($B$2:$B$151=TRUE())*ISNUMBER(PriceMetrics!$P$2:$P$151)*(PriceMetrics!$P$2:$P$151&lt;PriceMetrics!P65))/MAX(1,SUMPRODUCT(($B$2:$B$151=TRUE())*ISNUMBER(PriceMetrics!$P$2:$P$151)))))+0.4*IF(NOT(ISNUMBER(PriceMetrics!H65)),50,IF(PriceMetrics!H65&gt;70,40,IF(PriceMetrics!H65&gt;=50,100,IF(PriceMetrics!H65&gt;=35,60,30))))</f>
        <v>50</v>
      </c>
      <c r="J65" s="5" t="n">
        <f aca="false">AVERAGE(IF(NOT(ISNUMBER(PriceMetrics!F65)),50,100*(1-(SUMPRODUCT(($B$2:$B$151=TRUE())*ISNUMBER(PriceMetrics!$F$2:$F$151)*(PriceMetrics!$F$2:$F$151&lt;PriceMetrics!F65))/MAX(1,SUMPRODUCT(($B$2:$B$151=TRUE())*ISNUMBER(PriceMetrics!$F$2:$F$151)))))),IF(NOT(ISNUMBER(PriceMetrics!G65)),50,100*(1-(SUMPRODUCT(($B$2:$B$151=TRUE())*ISNUMBER(PriceMetrics!$G$2:$G$151)*(ABS(PriceMetrics!$G$2:$G$151)&lt;ABS(PriceMetrics!G65)))/MAX(1,SUMPRODUCT(($B$2:$B$151=TRUE())*ISNUMBER(PriceMetrics!$G$2:$G$151)))))))</f>
        <v>50</v>
      </c>
      <c r="K65" s="5" t="n">
        <f aca="false">AVERAGE(H65:J65)</f>
        <v>50</v>
      </c>
      <c r="L65" s="8" t="n">
        <f aca="false">Macro!$B$26</f>
        <v>53.5</v>
      </c>
      <c r="M65" s="5" t="n">
        <f aca="false">Control!$B$3*100*G65/100+Control!$B$4*K65+Control!$B$5*L65</f>
        <v>50.7</v>
      </c>
      <c r="N65" s="3" t="n">
        <f aca="false">M65+ROW()/1000000</f>
        <v>50.700065</v>
      </c>
      <c r="O65" s="5" t="n">
        <f aca="false">M65-IF(AND(Tickers!D65="SMALLCAP100",Macro!$B$26&lt;40),Control!$B$11,0)</f>
        <v>50.7</v>
      </c>
      <c r="P65" s="3" t="str">
        <f aca="false">IF(B65=FALSE(),"-",IF(O65&gt;=Control!$B$7,"BUY",IF(O65&gt;=Control!$B$8,"ACCUMULATE",IF(O65&gt;=Control!$B$9,"HOLD","AVOID"))))</f>
        <v>-</v>
      </c>
      <c r="Q65" s="3" t="str">
        <f aca="false">IF(B65=FALSE(),"",IF(OR(O65&gt;=72,O65&lt;=32),"High",IF(OR(O65&gt;=62,O65&lt;=42),"Medium","Low")))</f>
        <v/>
      </c>
      <c r="R65" s="12" t="n">
        <f aca="false">IF(P65="BUY",Control!$B$12,IF(P65="ACCUMULATE",Control!$B$13,0))</f>
        <v>0</v>
      </c>
      <c r="S65" s="3" t="str">
        <f aca="false">IF(B65=FALSE(),"",IF(T65=C65,"Rich valuation",IF(T65=E65,"Weak growth",IF(T65=F65,"Balance-sheet leverage",IF(T65=I65,"Negative momentum","High volatility/drawdown")))))</f>
        <v/>
      </c>
      <c r="T65" s="3" t="n">
        <f aca="false">MIN(C65,E65,F65,I65,J65)</f>
        <v>50</v>
      </c>
      <c r="U65" s="3" t="n">
        <f aca="false">IF(B65=TRUE(),N65,-1000+ROW()/1000000)</f>
        <v>-999.999935</v>
      </c>
    </row>
    <row r="66" customFormat="false" ht="15" hidden="false" customHeight="false" outlineLevel="0" collapsed="false">
      <c r="A66" s="7" t="str">
        <f aca="false">Tickers!A66</f>
        <v>BLS</v>
      </c>
      <c r="B66" s="19" t="b">
        <f aca="false">Tickers!F66</f>
        <v>0</v>
      </c>
      <c r="C66" s="5" t="n">
        <f aca="false">AVERAGE(IF(NOT(ISNUMBER(Fundamentals!C66)),50,IF(Fundamentals!C66&lt;=0,15,100*(1-(SUMPRODUCT(($B$2:$B$151=TRUE())*ISNUMBER(Fundamentals!$C$2:$C$151)*(Fundamentals!$C$2:$C$151&gt;0)*(Fundamentals!$C$2:$C$151&lt;Fundamentals!C66))/MAX(1,SUMPRODUCT(($B$2:$B$151=TRUE())*ISNUMBER(Fundamentals!$C$2:$C$151)*(Fundamentals!$C$2:$C$151&gt;0))))))),IF(NOT(ISNUMBER(Fundamentals!E66)),50,IF(Fundamentals!E66&lt;=0,15,100*(1-(SUMPRODUCT(($B$2:$B$151=TRUE())*ISNUMBER(Fundamentals!$E$2:$E$151)*(Fundamentals!$E$2:$E$151&gt;0)*(Fundamentals!$E$2:$E$151&lt;Fundamentals!E66))/MAX(1,SUMPRODUCT(($B$2:$B$151=TRUE())*ISNUMBER(Fundamentals!$E$2:$E$151)*(Fundamentals!$E$2:$E$151&gt;0))))))))</f>
        <v>50</v>
      </c>
      <c r="D66" s="5" t="n">
        <f aca="false">AVERAGE(IF(NOT(ISNUMBER(Fundamentals!F66)),50,100*(SUMPRODUCT(($B$2:$B$151=TRUE())*ISNUMBER(Fundamentals!$F$2:$F$151)*(Fundamentals!$F$2:$F$151&lt;Fundamentals!F66))/MAX(1,SUMPRODUCT(($B$2:$B$151=TRUE())*ISNUMBER(Fundamentals!$F$2:$F$151))))),IF(NOT(ISNUMBER(Fundamentals!J66)),50,100*(SUMPRODUCT(($B$2:$B$151=TRUE())*ISNUMBER(Fundamentals!$J$2:$J$151)*(Fundamentals!$J$2:$J$151&lt;Fundamentals!J66))/MAX(1,SUMPRODUCT(($B$2:$B$151=TRUE())*ISNUMBER(Fundamentals!$J$2:$J$151))))))</f>
        <v>50</v>
      </c>
      <c r="E66" s="5" t="n">
        <f aca="false">AVERAGE(IF(NOT(ISNUMBER(Fundamentals!H66)),50,100*(SUMPRODUCT(($B$2:$B$151=TRUE())*ISNUMBER(Fundamentals!$H$2:$H$151)*(Fundamentals!$H$2:$H$151&lt;Fundamentals!H66))/MAX(1,SUMPRODUCT(($B$2:$B$151=TRUE())*ISNUMBER(Fundamentals!$H$2:$H$151))))),IF(NOT(ISNUMBER(Fundamentals!I66)),50,100*(SUMPRODUCT(($B$2:$B$151=TRUE())*ISNUMBER(Fundamentals!$I$2:$I$151)*(Fundamentals!$I$2:$I$151&lt;Fundamentals!I66))/MAX(1,SUMPRODUCT(($B$2:$B$151=TRUE())*ISNUMBER(Fundamentals!$I$2:$I$151))))))</f>
        <v>50</v>
      </c>
      <c r="F66" s="5" t="n">
        <f aca="false">IF(Tickers!C66="Financial Services",50,IF(NOT(ISNUMBER(Fundamentals!G66)),50,100*(1-(SUMPRODUCT(($B$2:$B$151=TRUE())*ISNUMBER(Fundamentals!$G$2:$G$151)*(Fundamentals!$G$2:$G$151&lt;Fundamentals!G66))/MAX(1,SUMPRODUCT(($B$2:$B$151=TRUE())*ISNUMBER(Fundamentals!$G$2:$G$151)))))))</f>
        <v>50</v>
      </c>
      <c r="G66" s="5" t="n">
        <f aca="false">AVERAGE(C66:F66)</f>
        <v>50</v>
      </c>
      <c r="H66" s="5" t="n">
        <f aca="false">MIN(100,MAX(0,IF(NOT(ISNUMBER(PriceMetrics!K66)),50,100*(SUMPRODUCT(($B$2:$B$151=TRUE())*ISNUMBER(PriceMetrics!$K$2:$K$151)*(PriceMetrics!$K$2:$K$151&lt;PriceMetrics!K66))/MAX(1,SUMPRODUCT(($B$2:$B$151=TRUE())*ISNUMBER(PriceMetrics!$K$2:$K$151)))))+IF(ISNUMBER(PriceMetrics!L66),10*PriceMetrics!L66,0)))</f>
        <v>50</v>
      </c>
      <c r="I66" s="5" t="n">
        <f aca="false">0.6*IF(NOT(ISNUMBER(PriceMetrics!P66)),50,100*(SUMPRODUCT(($B$2:$B$151=TRUE())*ISNUMBER(PriceMetrics!$P$2:$P$151)*(PriceMetrics!$P$2:$P$151&lt;PriceMetrics!P66))/MAX(1,SUMPRODUCT(($B$2:$B$151=TRUE())*ISNUMBER(PriceMetrics!$P$2:$P$151)))))+0.4*IF(NOT(ISNUMBER(PriceMetrics!H66)),50,IF(PriceMetrics!H66&gt;70,40,IF(PriceMetrics!H66&gt;=50,100,IF(PriceMetrics!H66&gt;=35,60,30))))</f>
        <v>50</v>
      </c>
      <c r="J66" s="5" t="n">
        <f aca="false">AVERAGE(IF(NOT(ISNUMBER(PriceMetrics!F66)),50,100*(1-(SUMPRODUCT(($B$2:$B$151=TRUE())*ISNUMBER(PriceMetrics!$F$2:$F$151)*(PriceMetrics!$F$2:$F$151&lt;PriceMetrics!F66))/MAX(1,SUMPRODUCT(($B$2:$B$151=TRUE())*ISNUMBER(PriceMetrics!$F$2:$F$151)))))),IF(NOT(ISNUMBER(PriceMetrics!G66)),50,100*(1-(SUMPRODUCT(($B$2:$B$151=TRUE())*ISNUMBER(PriceMetrics!$G$2:$G$151)*(ABS(PriceMetrics!$G$2:$G$151)&lt;ABS(PriceMetrics!G66)))/MAX(1,SUMPRODUCT(($B$2:$B$151=TRUE())*ISNUMBER(PriceMetrics!$G$2:$G$151)))))))</f>
        <v>50</v>
      </c>
      <c r="K66" s="5" t="n">
        <f aca="false">AVERAGE(H66:J66)</f>
        <v>50</v>
      </c>
      <c r="L66" s="8" t="n">
        <f aca="false">Macro!$B$26</f>
        <v>53.5</v>
      </c>
      <c r="M66" s="5" t="n">
        <f aca="false">Control!$B$3*100*G66/100+Control!$B$4*K66+Control!$B$5*L66</f>
        <v>50.7</v>
      </c>
      <c r="N66" s="3" t="n">
        <f aca="false">M66+ROW()/1000000</f>
        <v>50.700066</v>
      </c>
      <c r="O66" s="5" t="n">
        <f aca="false">M66-IF(AND(Tickers!D66="SMALLCAP100",Macro!$B$26&lt;40),Control!$B$11,0)</f>
        <v>50.7</v>
      </c>
      <c r="P66" s="3" t="str">
        <f aca="false">IF(B66=FALSE(),"-",IF(O66&gt;=Control!$B$7,"BUY",IF(O66&gt;=Control!$B$8,"ACCUMULATE",IF(O66&gt;=Control!$B$9,"HOLD","AVOID"))))</f>
        <v>-</v>
      </c>
      <c r="Q66" s="3" t="str">
        <f aca="false">IF(B66=FALSE(),"",IF(OR(O66&gt;=72,O66&lt;=32),"High",IF(OR(O66&gt;=62,O66&lt;=42),"Medium","Low")))</f>
        <v/>
      </c>
      <c r="R66" s="12" t="n">
        <f aca="false">IF(P66="BUY",Control!$B$12,IF(P66="ACCUMULATE",Control!$B$13,0))</f>
        <v>0</v>
      </c>
      <c r="S66" s="3" t="str">
        <f aca="false">IF(B66=FALSE(),"",IF(T66=C66,"Rich valuation",IF(T66=E66,"Weak growth",IF(T66=F66,"Balance-sheet leverage",IF(T66=I66,"Negative momentum","High volatility/drawdown")))))</f>
        <v/>
      </c>
      <c r="T66" s="3" t="n">
        <f aca="false">MIN(C66,E66,F66,I66,J66)</f>
        <v>50</v>
      </c>
      <c r="U66" s="3" t="n">
        <f aca="false">IF(B66=TRUE(),N66,-1000+ROW()/1000000)</f>
        <v>-999.999934</v>
      </c>
    </row>
    <row r="67" customFormat="false" ht="15" hidden="false" customHeight="false" outlineLevel="0" collapsed="false">
      <c r="A67" s="7" t="str">
        <f aca="false">Tickers!A67</f>
        <v>BANDHANBNK</v>
      </c>
      <c r="B67" s="19" t="b">
        <f aca="false">Tickers!F67</f>
        <v>0</v>
      </c>
      <c r="C67" s="5" t="n">
        <f aca="false">AVERAGE(IF(NOT(ISNUMBER(Fundamentals!C67)),50,IF(Fundamentals!C67&lt;=0,15,100*(1-(SUMPRODUCT(($B$2:$B$151=TRUE())*ISNUMBER(Fundamentals!$C$2:$C$151)*(Fundamentals!$C$2:$C$151&gt;0)*(Fundamentals!$C$2:$C$151&lt;Fundamentals!C67))/MAX(1,SUMPRODUCT(($B$2:$B$151=TRUE())*ISNUMBER(Fundamentals!$C$2:$C$151)*(Fundamentals!$C$2:$C$151&gt;0))))))),IF(NOT(ISNUMBER(Fundamentals!E67)),50,IF(Fundamentals!E67&lt;=0,15,100*(1-(SUMPRODUCT(($B$2:$B$151=TRUE())*ISNUMBER(Fundamentals!$E$2:$E$151)*(Fundamentals!$E$2:$E$151&gt;0)*(Fundamentals!$E$2:$E$151&lt;Fundamentals!E67))/MAX(1,SUMPRODUCT(($B$2:$B$151=TRUE())*ISNUMBER(Fundamentals!$E$2:$E$151)*(Fundamentals!$E$2:$E$151&gt;0))))))))</f>
        <v>50</v>
      </c>
      <c r="D67" s="5" t="n">
        <f aca="false">AVERAGE(IF(NOT(ISNUMBER(Fundamentals!F67)),50,100*(SUMPRODUCT(($B$2:$B$151=TRUE())*ISNUMBER(Fundamentals!$F$2:$F$151)*(Fundamentals!$F$2:$F$151&lt;Fundamentals!F67))/MAX(1,SUMPRODUCT(($B$2:$B$151=TRUE())*ISNUMBER(Fundamentals!$F$2:$F$151))))),IF(NOT(ISNUMBER(Fundamentals!J67)),50,100*(SUMPRODUCT(($B$2:$B$151=TRUE())*ISNUMBER(Fundamentals!$J$2:$J$151)*(Fundamentals!$J$2:$J$151&lt;Fundamentals!J67))/MAX(1,SUMPRODUCT(($B$2:$B$151=TRUE())*ISNUMBER(Fundamentals!$J$2:$J$151))))))</f>
        <v>50</v>
      </c>
      <c r="E67" s="5" t="n">
        <f aca="false">AVERAGE(IF(NOT(ISNUMBER(Fundamentals!H67)),50,100*(SUMPRODUCT(($B$2:$B$151=TRUE())*ISNUMBER(Fundamentals!$H$2:$H$151)*(Fundamentals!$H$2:$H$151&lt;Fundamentals!H67))/MAX(1,SUMPRODUCT(($B$2:$B$151=TRUE())*ISNUMBER(Fundamentals!$H$2:$H$151))))),IF(NOT(ISNUMBER(Fundamentals!I67)),50,100*(SUMPRODUCT(($B$2:$B$151=TRUE())*ISNUMBER(Fundamentals!$I$2:$I$151)*(Fundamentals!$I$2:$I$151&lt;Fundamentals!I67))/MAX(1,SUMPRODUCT(($B$2:$B$151=TRUE())*ISNUMBER(Fundamentals!$I$2:$I$151))))))</f>
        <v>50</v>
      </c>
      <c r="F67" s="5" t="n">
        <f aca="false">IF(Tickers!C67="Financial Services",50,IF(NOT(ISNUMBER(Fundamentals!G67)),50,100*(1-(SUMPRODUCT(($B$2:$B$151=TRUE())*ISNUMBER(Fundamentals!$G$2:$G$151)*(Fundamentals!$G$2:$G$151&lt;Fundamentals!G67))/MAX(1,SUMPRODUCT(($B$2:$B$151=TRUE())*ISNUMBER(Fundamentals!$G$2:$G$151)))))))</f>
        <v>50</v>
      </c>
      <c r="G67" s="5" t="n">
        <f aca="false">AVERAGE(C67:F67)</f>
        <v>50</v>
      </c>
      <c r="H67" s="5" t="n">
        <f aca="false">MIN(100,MAX(0,IF(NOT(ISNUMBER(PriceMetrics!K67)),50,100*(SUMPRODUCT(($B$2:$B$151=TRUE())*ISNUMBER(PriceMetrics!$K$2:$K$151)*(PriceMetrics!$K$2:$K$151&lt;PriceMetrics!K67))/MAX(1,SUMPRODUCT(($B$2:$B$151=TRUE())*ISNUMBER(PriceMetrics!$K$2:$K$151)))))+IF(ISNUMBER(PriceMetrics!L67),10*PriceMetrics!L67,0)))</f>
        <v>50</v>
      </c>
      <c r="I67" s="5" t="n">
        <f aca="false">0.6*IF(NOT(ISNUMBER(PriceMetrics!P67)),50,100*(SUMPRODUCT(($B$2:$B$151=TRUE())*ISNUMBER(PriceMetrics!$P$2:$P$151)*(PriceMetrics!$P$2:$P$151&lt;PriceMetrics!P67))/MAX(1,SUMPRODUCT(($B$2:$B$151=TRUE())*ISNUMBER(PriceMetrics!$P$2:$P$151)))))+0.4*IF(NOT(ISNUMBER(PriceMetrics!H67)),50,IF(PriceMetrics!H67&gt;70,40,IF(PriceMetrics!H67&gt;=50,100,IF(PriceMetrics!H67&gt;=35,60,30))))</f>
        <v>50</v>
      </c>
      <c r="J67" s="5" t="n">
        <f aca="false">AVERAGE(IF(NOT(ISNUMBER(PriceMetrics!F67)),50,100*(1-(SUMPRODUCT(($B$2:$B$151=TRUE())*ISNUMBER(PriceMetrics!$F$2:$F$151)*(PriceMetrics!$F$2:$F$151&lt;PriceMetrics!F67))/MAX(1,SUMPRODUCT(($B$2:$B$151=TRUE())*ISNUMBER(PriceMetrics!$F$2:$F$151)))))),IF(NOT(ISNUMBER(PriceMetrics!G67)),50,100*(1-(SUMPRODUCT(($B$2:$B$151=TRUE())*ISNUMBER(PriceMetrics!$G$2:$G$151)*(ABS(PriceMetrics!$G$2:$G$151)&lt;ABS(PriceMetrics!G67)))/MAX(1,SUMPRODUCT(($B$2:$B$151=TRUE())*ISNUMBER(PriceMetrics!$G$2:$G$151)))))))</f>
        <v>50</v>
      </c>
      <c r="K67" s="5" t="n">
        <f aca="false">AVERAGE(H67:J67)</f>
        <v>50</v>
      </c>
      <c r="L67" s="8" t="n">
        <f aca="false">Macro!$B$26</f>
        <v>53.5</v>
      </c>
      <c r="M67" s="5" t="n">
        <f aca="false">Control!$B$3*100*G67/100+Control!$B$4*K67+Control!$B$5*L67</f>
        <v>50.7</v>
      </c>
      <c r="N67" s="3" t="n">
        <f aca="false">M67+ROW()/1000000</f>
        <v>50.700067</v>
      </c>
      <c r="O67" s="5" t="n">
        <f aca="false">M67-IF(AND(Tickers!D67="SMALLCAP100",Macro!$B$26&lt;40),Control!$B$11,0)</f>
        <v>50.7</v>
      </c>
      <c r="P67" s="3" t="str">
        <f aca="false">IF(B67=FALSE(),"-",IF(O67&gt;=Control!$B$7,"BUY",IF(O67&gt;=Control!$B$8,"ACCUMULATE",IF(O67&gt;=Control!$B$9,"HOLD","AVOID"))))</f>
        <v>-</v>
      </c>
      <c r="Q67" s="3" t="str">
        <f aca="false">IF(B67=FALSE(),"",IF(OR(O67&gt;=72,O67&lt;=32),"High",IF(OR(O67&gt;=62,O67&lt;=42),"Medium","Low")))</f>
        <v/>
      </c>
      <c r="R67" s="12" t="n">
        <f aca="false">IF(P67="BUY",Control!$B$12,IF(P67="ACCUMULATE",Control!$B$13,0))</f>
        <v>0</v>
      </c>
      <c r="S67" s="3" t="str">
        <f aca="false">IF(B67=FALSE(),"",IF(T67=C67,"Rich valuation",IF(T67=E67,"Weak growth",IF(T67=F67,"Balance-sheet leverage",IF(T67=I67,"Negative momentum","High volatility/drawdown")))))</f>
        <v/>
      </c>
      <c r="T67" s="3" t="n">
        <f aca="false">MIN(C67,E67,F67,I67,J67)</f>
        <v>50</v>
      </c>
      <c r="U67" s="3" t="n">
        <f aca="false">IF(B67=TRUE(),N67,-1000+ROW()/1000000)</f>
        <v>-999.999933</v>
      </c>
    </row>
    <row r="68" customFormat="false" ht="15" hidden="false" customHeight="false" outlineLevel="0" collapsed="false">
      <c r="A68" s="7" t="str">
        <f aca="false">Tickers!A68</f>
        <v>FIRSTCRY</v>
      </c>
      <c r="B68" s="19" t="b">
        <f aca="false">Tickers!F68</f>
        <v>0</v>
      </c>
      <c r="C68" s="5" t="n">
        <f aca="false">AVERAGE(IF(NOT(ISNUMBER(Fundamentals!C68)),50,IF(Fundamentals!C68&lt;=0,15,100*(1-(SUMPRODUCT(($B$2:$B$151=TRUE())*ISNUMBER(Fundamentals!$C$2:$C$151)*(Fundamentals!$C$2:$C$151&gt;0)*(Fundamentals!$C$2:$C$151&lt;Fundamentals!C68))/MAX(1,SUMPRODUCT(($B$2:$B$151=TRUE())*ISNUMBER(Fundamentals!$C$2:$C$151)*(Fundamentals!$C$2:$C$151&gt;0))))))),IF(NOT(ISNUMBER(Fundamentals!E68)),50,IF(Fundamentals!E68&lt;=0,15,100*(1-(SUMPRODUCT(($B$2:$B$151=TRUE())*ISNUMBER(Fundamentals!$E$2:$E$151)*(Fundamentals!$E$2:$E$151&gt;0)*(Fundamentals!$E$2:$E$151&lt;Fundamentals!E68))/MAX(1,SUMPRODUCT(($B$2:$B$151=TRUE())*ISNUMBER(Fundamentals!$E$2:$E$151)*(Fundamentals!$E$2:$E$151&gt;0))))))))</f>
        <v>50</v>
      </c>
      <c r="D68" s="5" t="n">
        <f aca="false">AVERAGE(IF(NOT(ISNUMBER(Fundamentals!F68)),50,100*(SUMPRODUCT(($B$2:$B$151=TRUE())*ISNUMBER(Fundamentals!$F$2:$F$151)*(Fundamentals!$F$2:$F$151&lt;Fundamentals!F68))/MAX(1,SUMPRODUCT(($B$2:$B$151=TRUE())*ISNUMBER(Fundamentals!$F$2:$F$151))))),IF(NOT(ISNUMBER(Fundamentals!J68)),50,100*(SUMPRODUCT(($B$2:$B$151=TRUE())*ISNUMBER(Fundamentals!$J$2:$J$151)*(Fundamentals!$J$2:$J$151&lt;Fundamentals!J68))/MAX(1,SUMPRODUCT(($B$2:$B$151=TRUE())*ISNUMBER(Fundamentals!$J$2:$J$151))))))</f>
        <v>50</v>
      </c>
      <c r="E68" s="5" t="n">
        <f aca="false">AVERAGE(IF(NOT(ISNUMBER(Fundamentals!H68)),50,100*(SUMPRODUCT(($B$2:$B$151=TRUE())*ISNUMBER(Fundamentals!$H$2:$H$151)*(Fundamentals!$H$2:$H$151&lt;Fundamentals!H68))/MAX(1,SUMPRODUCT(($B$2:$B$151=TRUE())*ISNUMBER(Fundamentals!$H$2:$H$151))))),IF(NOT(ISNUMBER(Fundamentals!I68)),50,100*(SUMPRODUCT(($B$2:$B$151=TRUE())*ISNUMBER(Fundamentals!$I$2:$I$151)*(Fundamentals!$I$2:$I$151&lt;Fundamentals!I68))/MAX(1,SUMPRODUCT(($B$2:$B$151=TRUE())*ISNUMBER(Fundamentals!$I$2:$I$151))))))</f>
        <v>50</v>
      </c>
      <c r="F68" s="5" t="n">
        <f aca="false">IF(Tickers!C68="Financial Services",50,IF(NOT(ISNUMBER(Fundamentals!G68)),50,100*(1-(SUMPRODUCT(($B$2:$B$151=TRUE())*ISNUMBER(Fundamentals!$G$2:$G$151)*(Fundamentals!$G$2:$G$151&lt;Fundamentals!G68))/MAX(1,SUMPRODUCT(($B$2:$B$151=TRUE())*ISNUMBER(Fundamentals!$G$2:$G$151)))))))</f>
        <v>50</v>
      </c>
      <c r="G68" s="5" t="n">
        <f aca="false">AVERAGE(C68:F68)</f>
        <v>50</v>
      </c>
      <c r="H68" s="5" t="n">
        <f aca="false">MIN(100,MAX(0,IF(NOT(ISNUMBER(PriceMetrics!K68)),50,100*(SUMPRODUCT(($B$2:$B$151=TRUE())*ISNUMBER(PriceMetrics!$K$2:$K$151)*(PriceMetrics!$K$2:$K$151&lt;PriceMetrics!K68))/MAX(1,SUMPRODUCT(($B$2:$B$151=TRUE())*ISNUMBER(PriceMetrics!$K$2:$K$151)))))+IF(ISNUMBER(PriceMetrics!L68),10*PriceMetrics!L68,0)))</f>
        <v>50</v>
      </c>
      <c r="I68" s="5" t="n">
        <f aca="false">0.6*IF(NOT(ISNUMBER(PriceMetrics!P68)),50,100*(SUMPRODUCT(($B$2:$B$151=TRUE())*ISNUMBER(PriceMetrics!$P$2:$P$151)*(PriceMetrics!$P$2:$P$151&lt;PriceMetrics!P68))/MAX(1,SUMPRODUCT(($B$2:$B$151=TRUE())*ISNUMBER(PriceMetrics!$P$2:$P$151)))))+0.4*IF(NOT(ISNUMBER(PriceMetrics!H68)),50,IF(PriceMetrics!H68&gt;70,40,IF(PriceMetrics!H68&gt;=50,100,IF(PriceMetrics!H68&gt;=35,60,30))))</f>
        <v>50</v>
      </c>
      <c r="J68" s="5" t="n">
        <f aca="false">AVERAGE(IF(NOT(ISNUMBER(PriceMetrics!F68)),50,100*(1-(SUMPRODUCT(($B$2:$B$151=TRUE())*ISNUMBER(PriceMetrics!$F$2:$F$151)*(PriceMetrics!$F$2:$F$151&lt;PriceMetrics!F68))/MAX(1,SUMPRODUCT(($B$2:$B$151=TRUE())*ISNUMBER(PriceMetrics!$F$2:$F$151)))))),IF(NOT(ISNUMBER(PriceMetrics!G68)),50,100*(1-(SUMPRODUCT(($B$2:$B$151=TRUE())*ISNUMBER(PriceMetrics!$G$2:$G$151)*(ABS(PriceMetrics!$G$2:$G$151)&lt;ABS(PriceMetrics!G68)))/MAX(1,SUMPRODUCT(($B$2:$B$151=TRUE())*ISNUMBER(PriceMetrics!$G$2:$G$151)))))))</f>
        <v>50</v>
      </c>
      <c r="K68" s="5" t="n">
        <f aca="false">AVERAGE(H68:J68)</f>
        <v>50</v>
      </c>
      <c r="L68" s="8" t="n">
        <f aca="false">Macro!$B$26</f>
        <v>53.5</v>
      </c>
      <c r="M68" s="5" t="n">
        <f aca="false">Control!$B$3*100*G68/100+Control!$B$4*K68+Control!$B$5*L68</f>
        <v>50.7</v>
      </c>
      <c r="N68" s="3" t="n">
        <f aca="false">M68+ROW()/1000000</f>
        <v>50.700068</v>
      </c>
      <c r="O68" s="5" t="n">
        <f aca="false">M68-IF(AND(Tickers!D68="SMALLCAP100",Macro!$B$26&lt;40),Control!$B$11,0)</f>
        <v>50.7</v>
      </c>
      <c r="P68" s="3" t="str">
        <f aca="false">IF(B68=FALSE(),"-",IF(O68&gt;=Control!$B$7,"BUY",IF(O68&gt;=Control!$B$8,"ACCUMULATE",IF(O68&gt;=Control!$B$9,"HOLD","AVOID"))))</f>
        <v>-</v>
      </c>
      <c r="Q68" s="3" t="str">
        <f aca="false">IF(B68=FALSE(),"",IF(OR(O68&gt;=72,O68&lt;=32),"High",IF(OR(O68&gt;=62,O68&lt;=42),"Medium","Low")))</f>
        <v/>
      </c>
      <c r="R68" s="12" t="n">
        <f aca="false">IF(P68="BUY",Control!$B$12,IF(P68="ACCUMULATE",Control!$B$13,0))</f>
        <v>0</v>
      </c>
      <c r="S68" s="3" t="str">
        <f aca="false">IF(B68=FALSE(),"",IF(T68=C68,"Rich valuation",IF(T68=E68,"Weak growth",IF(T68=F68,"Balance-sheet leverage",IF(T68=I68,"Negative momentum","High volatility/drawdown")))))</f>
        <v/>
      </c>
      <c r="T68" s="3" t="n">
        <f aca="false">MIN(C68,E68,F68,I68,J68)</f>
        <v>50</v>
      </c>
      <c r="U68" s="3" t="n">
        <f aca="false">IF(B68=TRUE(),N68,-1000+ROW()/1000000)</f>
        <v>-999.999932</v>
      </c>
    </row>
    <row r="69" customFormat="false" ht="15" hidden="false" customHeight="false" outlineLevel="0" collapsed="false">
      <c r="A69" s="7" t="str">
        <f aca="false">Tickers!A69</f>
        <v>BRIGADE</v>
      </c>
      <c r="B69" s="19" t="b">
        <f aca="false">Tickers!F69</f>
        <v>0</v>
      </c>
      <c r="C69" s="5" t="n">
        <f aca="false">AVERAGE(IF(NOT(ISNUMBER(Fundamentals!C69)),50,IF(Fundamentals!C69&lt;=0,15,100*(1-(SUMPRODUCT(($B$2:$B$151=TRUE())*ISNUMBER(Fundamentals!$C$2:$C$151)*(Fundamentals!$C$2:$C$151&gt;0)*(Fundamentals!$C$2:$C$151&lt;Fundamentals!C69))/MAX(1,SUMPRODUCT(($B$2:$B$151=TRUE())*ISNUMBER(Fundamentals!$C$2:$C$151)*(Fundamentals!$C$2:$C$151&gt;0))))))),IF(NOT(ISNUMBER(Fundamentals!E69)),50,IF(Fundamentals!E69&lt;=0,15,100*(1-(SUMPRODUCT(($B$2:$B$151=TRUE())*ISNUMBER(Fundamentals!$E$2:$E$151)*(Fundamentals!$E$2:$E$151&gt;0)*(Fundamentals!$E$2:$E$151&lt;Fundamentals!E69))/MAX(1,SUMPRODUCT(($B$2:$B$151=TRUE())*ISNUMBER(Fundamentals!$E$2:$E$151)*(Fundamentals!$E$2:$E$151&gt;0))))))))</f>
        <v>50</v>
      </c>
      <c r="D69" s="5" t="n">
        <f aca="false">AVERAGE(IF(NOT(ISNUMBER(Fundamentals!F69)),50,100*(SUMPRODUCT(($B$2:$B$151=TRUE())*ISNUMBER(Fundamentals!$F$2:$F$151)*(Fundamentals!$F$2:$F$151&lt;Fundamentals!F69))/MAX(1,SUMPRODUCT(($B$2:$B$151=TRUE())*ISNUMBER(Fundamentals!$F$2:$F$151))))),IF(NOT(ISNUMBER(Fundamentals!J69)),50,100*(SUMPRODUCT(($B$2:$B$151=TRUE())*ISNUMBER(Fundamentals!$J$2:$J$151)*(Fundamentals!$J$2:$J$151&lt;Fundamentals!J69))/MAX(1,SUMPRODUCT(($B$2:$B$151=TRUE())*ISNUMBER(Fundamentals!$J$2:$J$151))))))</f>
        <v>50</v>
      </c>
      <c r="E69" s="5" t="n">
        <f aca="false">AVERAGE(IF(NOT(ISNUMBER(Fundamentals!H69)),50,100*(SUMPRODUCT(($B$2:$B$151=TRUE())*ISNUMBER(Fundamentals!$H$2:$H$151)*(Fundamentals!$H$2:$H$151&lt;Fundamentals!H69))/MAX(1,SUMPRODUCT(($B$2:$B$151=TRUE())*ISNUMBER(Fundamentals!$H$2:$H$151))))),IF(NOT(ISNUMBER(Fundamentals!I69)),50,100*(SUMPRODUCT(($B$2:$B$151=TRUE())*ISNUMBER(Fundamentals!$I$2:$I$151)*(Fundamentals!$I$2:$I$151&lt;Fundamentals!I69))/MAX(1,SUMPRODUCT(($B$2:$B$151=TRUE())*ISNUMBER(Fundamentals!$I$2:$I$151))))))</f>
        <v>50</v>
      </c>
      <c r="F69" s="5" t="n">
        <f aca="false">IF(Tickers!C69="Financial Services",50,IF(NOT(ISNUMBER(Fundamentals!G69)),50,100*(1-(SUMPRODUCT(($B$2:$B$151=TRUE())*ISNUMBER(Fundamentals!$G$2:$G$151)*(Fundamentals!$G$2:$G$151&lt;Fundamentals!G69))/MAX(1,SUMPRODUCT(($B$2:$B$151=TRUE())*ISNUMBER(Fundamentals!$G$2:$G$151)))))))</f>
        <v>50</v>
      </c>
      <c r="G69" s="5" t="n">
        <f aca="false">AVERAGE(C69:F69)</f>
        <v>50</v>
      </c>
      <c r="H69" s="5" t="n">
        <f aca="false">MIN(100,MAX(0,IF(NOT(ISNUMBER(PriceMetrics!K69)),50,100*(SUMPRODUCT(($B$2:$B$151=TRUE())*ISNUMBER(PriceMetrics!$K$2:$K$151)*(PriceMetrics!$K$2:$K$151&lt;PriceMetrics!K69))/MAX(1,SUMPRODUCT(($B$2:$B$151=TRUE())*ISNUMBER(PriceMetrics!$K$2:$K$151)))))+IF(ISNUMBER(PriceMetrics!L69),10*PriceMetrics!L69,0)))</f>
        <v>50</v>
      </c>
      <c r="I69" s="5" t="n">
        <f aca="false">0.6*IF(NOT(ISNUMBER(PriceMetrics!P69)),50,100*(SUMPRODUCT(($B$2:$B$151=TRUE())*ISNUMBER(PriceMetrics!$P$2:$P$151)*(PriceMetrics!$P$2:$P$151&lt;PriceMetrics!P69))/MAX(1,SUMPRODUCT(($B$2:$B$151=TRUE())*ISNUMBER(PriceMetrics!$P$2:$P$151)))))+0.4*IF(NOT(ISNUMBER(PriceMetrics!H69)),50,IF(PriceMetrics!H69&gt;70,40,IF(PriceMetrics!H69&gt;=50,100,IF(PriceMetrics!H69&gt;=35,60,30))))</f>
        <v>50</v>
      </c>
      <c r="J69" s="5" t="n">
        <f aca="false">AVERAGE(IF(NOT(ISNUMBER(PriceMetrics!F69)),50,100*(1-(SUMPRODUCT(($B$2:$B$151=TRUE())*ISNUMBER(PriceMetrics!$F$2:$F$151)*(PriceMetrics!$F$2:$F$151&lt;PriceMetrics!F69))/MAX(1,SUMPRODUCT(($B$2:$B$151=TRUE())*ISNUMBER(PriceMetrics!$F$2:$F$151)))))),IF(NOT(ISNUMBER(PriceMetrics!G69)),50,100*(1-(SUMPRODUCT(($B$2:$B$151=TRUE())*ISNUMBER(PriceMetrics!$G$2:$G$151)*(ABS(PriceMetrics!$G$2:$G$151)&lt;ABS(PriceMetrics!G69)))/MAX(1,SUMPRODUCT(($B$2:$B$151=TRUE())*ISNUMBER(PriceMetrics!$G$2:$G$151)))))))</f>
        <v>50</v>
      </c>
      <c r="K69" s="5" t="n">
        <f aca="false">AVERAGE(H69:J69)</f>
        <v>50</v>
      </c>
      <c r="L69" s="8" t="n">
        <f aca="false">Macro!$B$26</f>
        <v>53.5</v>
      </c>
      <c r="M69" s="5" t="n">
        <f aca="false">Control!$B$3*100*G69/100+Control!$B$4*K69+Control!$B$5*L69</f>
        <v>50.7</v>
      </c>
      <c r="N69" s="3" t="n">
        <f aca="false">M69+ROW()/1000000</f>
        <v>50.700069</v>
      </c>
      <c r="O69" s="5" t="n">
        <f aca="false">M69-IF(AND(Tickers!D69="SMALLCAP100",Macro!$B$26&lt;40),Control!$B$11,0)</f>
        <v>50.7</v>
      </c>
      <c r="P69" s="3" t="str">
        <f aca="false">IF(B69=FALSE(),"-",IF(O69&gt;=Control!$B$7,"BUY",IF(O69&gt;=Control!$B$8,"ACCUMULATE",IF(O69&gt;=Control!$B$9,"HOLD","AVOID"))))</f>
        <v>-</v>
      </c>
      <c r="Q69" s="3" t="str">
        <f aca="false">IF(B69=FALSE(),"",IF(OR(O69&gt;=72,O69&lt;=32),"High",IF(OR(O69&gt;=62,O69&lt;=42),"Medium","Low")))</f>
        <v/>
      </c>
      <c r="R69" s="12" t="n">
        <f aca="false">IF(P69="BUY",Control!$B$12,IF(P69="ACCUMULATE",Control!$B$13,0))</f>
        <v>0</v>
      </c>
      <c r="S69" s="3" t="str">
        <f aca="false">IF(B69=FALSE(),"",IF(T69=C69,"Rich valuation",IF(T69=E69,"Weak growth",IF(T69=F69,"Balance-sheet leverage",IF(T69=I69,"Negative momentum","High volatility/drawdown")))))</f>
        <v/>
      </c>
      <c r="T69" s="3" t="n">
        <f aca="false">MIN(C69,E69,F69,I69,J69)</f>
        <v>50</v>
      </c>
      <c r="U69" s="3" t="n">
        <f aca="false">IF(B69=TRUE(),N69,-1000+ROW()/1000000)</f>
        <v>-999.999931</v>
      </c>
    </row>
    <row r="70" customFormat="false" ht="15" hidden="false" customHeight="false" outlineLevel="0" collapsed="false">
      <c r="A70" s="7" t="str">
        <f aca="false">Tickers!A70</f>
        <v>CESC</v>
      </c>
      <c r="B70" s="19" t="b">
        <f aca="false">Tickers!F70</f>
        <v>0</v>
      </c>
      <c r="C70" s="5" t="n">
        <f aca="false">AVERAGE(IF(NOT(ISNUMBER(Fundamentals!C70)),50,IF(Fundamentals!C70&lt;=0,15,100*(1-(SUMPRODUCT(($B$2:$B$151=TRUE())*ISNUMBER(Fundamentals!$C$2:$C$151)*(Fundamentals!$C$2:$C$151&gt;0)*(Fundamentals!$C$2:$C$151&lt;Fundamentals!C70))/MAX(1,SUMPRODUCT(($B$2:$B$151=TRUE())*ISNUMBER(Fundamentals!$C$2:$C$151)*(Fundamentals!$C$2:$C$151&gt;0))))))),IF(NOT(ISNUMBER(Fundamentals!E70)),50,IF(Fundamentals!E70&lt;=0,15,100*(1-(SUMPRODUCT(($B$2:$B$151=TRUE())*ISNUMBER(Fundamentals!$E$2:$E$151)*(Fundamentals!$E$2:$E$151&gt;0)*(Fundamentals!$E$2:$E$151&lt;Fundamentals!E70))/MAX(1,SUMPRODUCT(($B$2:$B$151=TRUE())*ISNUMBER(Fundamentals!$E$2:$E$151)*(Fundamentals!$E$2:$E$151&gt;0))))))))</f>
        <v>50</v>
      </c>
      <c r="D70" s="5" t="n">
        <f aca="false">AVERAGE(IF(NOT(ISNUMBER(Fundamentals!F70)),50,100*(SUMPRODUCT(($B$2:$B$151=TRUE())*ISNUMBER(Fundamentals!$F$2:$F$151)*(Fundamentals!$F$2:$F$151&lt;Fundamentals!F70))/MAX(1,SUMPRODUCT(($B$2:$B$151=TRUE())*ISNUMBER(Fundamentals!$F$2:$F$151))))),IF(NOT(ISNUMBER(Fundamentals!J70)),50,100*(SUMPRODUCT(($B$2:$B$151=TRUE())*ISNUMBER(Fundamentals!$J$2:$J$151)*(Fundamentals!$J$2:$J$151&lt;Fundamentals!J70))/MAX(1,SUMPRODUCT(($B$2:$B$151=TRUE())*ISNUMBER(Fundamentals!$J$2:$J$151))))))</f>
        <v>50</v>
      </c>
      <c r="E70" s="5" t="n">
        <f aca="false">AVERAGE(IF(NOT(ISNUMBER(Fundamentals!H70)),50,100*(SUMPRODUCT(($B$2:$B$151=TRUE())*ISNUMBER(Fundamentals!$H$2:$H$151)*(Fundamentals!$H$2:$H$151&lt;Fundamentals!H70))/MAX(1,SUMPRODUCT(($B$2:$B$151=TRUE())*ISNUMBER(Fundamentals!$H$2:$H$151))))),IF(NOT(ISNUMBER(Fundamentals!I70)),50,100*(SUMPRODUCT(($B$2:$B$151=TRUE())*ISNUMBER(Fundamentals!$I$2:$I$151)*(Fundamentals!$I$2:$I$151&lt;Fundamentals!I70))/MAX(1,SUMPRODUCT(($B$2:$B$151=TRUE())*ISNUMBER(Fundamentals!$I$2:$I$151))))))</f>
        <v>50</v>
      </c>
      <c r="F70" s="5" t="n">
        <f aca="false">IF(Tickers!C70="Financial Services",50,IF(NOT(ISNUMBER(Fundamentals!G70)),50,100*(1-(SUMPRODUCT(($B$2:$B$151=TRUE())*ISNUMBER(Fundamentals!$G$2:$G$151)*(Fundamentals!$G$2:$G$151&lt;Fundamentals!G70))/MAX(1,SUMPRODUCT(($B$2:$B$151=TRUE())*ISNUMBER(Fundamentals!$G$2:$G$151)))))))</f>
        <v>50</v>
      </c>
      <c r="G70" s="5" t="n">
        <f aca="false">AVERAGE(C70:F70)</f>
        <v>50</v>
      </c>
      <c r="H70" s="5" t="n">
        <f aca="false">MIN(100,MAX(0,IF(NOT(ISNUMBER(PriceMetrics!K70)),50,100*(SUMPRODUCT(($B$2:$B$151=TRUE())*ISNUMBER(PriceMetrics!$K$2:$K$151)*(PriceMetrics!$K$2:$K$151&lt;PriceMetrics!K70))/MAX(1,SUMPRODUCT(($B$2:$B$151=TRUE())*ISNUMBER(PriceMetrics!$K$2:$K$151)))))+IF(ISNUMBER(PriceMetrics!L70),10*PriceMetrics!L70,0)))</f>
        <v>50</v>
      </c>
      <c r="I70" s="5" t="n">
        <f aca="false">0.6*IF(NOT(ISNUMBER(PriceMetrics!P70)),50,100*(SUMPRODUCT(($B$2:$B$151=TRUE())*ISNUMBER(PriceMetrics!$P$2:$P$151)*(PriceMetrics!$P$2:$P$151&lt;PriceMetrics!P70))/MAX(1,SUMPRODUCT(($B$2:$B$151=TRUE())*ISNUMBER(PriceMetrics!$P$2:$P$151)))))+0.4*IF(NOT(ISNUMBER(PriceMetrics!H70)),50,IF(PriceMetrics!H70&gt;70,40,IF(PriceMetrics!H70&gt;=50,100,IF(PriceMetrics!H70&gt;=35,60,30))))</f>
        <v>50</v>
      </c>
      <c r="J70" s="5" t="n">
        <f aca="false">AVERAGE(IF(NOT(ISNUMBER(PriceMetrics!F70)),50,100*(1-(SUMPRODUCT(($B$2:$B$151=TRUE())*ISNUMBER(PriceMetrics!$F$2:$F$151)*(PriceMetrics!$F$2:$F$151&lt;PriceMetrics!F70))/MAX(1,SUMPRODUCT(($B$2:$B$151=TRUE())*ISNUMBER(PriceMetrics!$F$2:$F$151)))))),IF(NOT(ISNUMBER(PriceMetrics!G70)),50,100*(1-(SUMPRODUCT(($B$2:$B$151=TRUE())*ISNUMBER(PriceMetrics!$G$2:$G$151)*(ABS(PriceMetrics!$G$2:$G$151)&lt;ABS(PriceMetrics!G70)))/MAX(1,SUMPRODUCT(($B$2:$B$151=TRUE())*ISNUMBER(PriceMetrics!$G$2:$G$151)))))))</f>
        <v>50</v>
      </c>
      <c r="K70" s="5" t="n">
        <f aca="false">AVERAGE(H70:J70)</f>
        <v>50</v>
      </c>
      <c r="L70" s="8" t="n">
        <f aca="false">Macro!$B$26</f>
        <v>53.5</v>
      </c>
      <c r="M70" s="5" t="n">
        <f aca="false">Control!$B$3*100*G70/100+Control!$B$4*K70+Control!$B$5*L70</f>
        <v>50.7</v>
      </c>
      <c r="N70" s="3" t="n">
        <f aca="false">M70+ROW()/1000000</f>
        <v>50.70007</v>
      </c>
      <c r="O70" s="5" t="n">
        <f aca="false">M70-IF(AND(Tickers!D70="SMALLCAP100",Macro!$B$26&lt;40),Control!$B$11,0)</f>
        <v>50.7</v>
      </c>
      <c r="P70" s="3" t="str">
        <f aca="false">IF(B70=FALSE(),"-",IF(O70&gt;=Control!$B$7,"BUY",IF(O70&gt;=Control!$B$8,"ACCUMULATE",IF(O70&gt;=Control!$B$9,"HOLD","AVOID"))))</f>
        <v>-</v>
      </c>
      <c r="Q70" s="3" t="str">
        <f aca="false">IF(B70=FALSE(),"",IF(OR(O70&gt;=72,O70&lt;=32),"High",IF(OR(O70&gt;=62,O70&lt;=42),"Medium","Low")))</f>
        <v/>
      </c>
      <c r="R70" s="12" t="n">
        <f aca="false">IF(P70="BUY",Control!$B$12,IF(P70="ACCUMULATE",Control!$B$13,0))</f>
        <v>0</v>
      </c>
      <c r="S70" s="3" t="str">
        <f aca="false">IF(B70=FALSE(),"",IF(T70=C70,"Rich valuation",IF(T70=E70,"Weak growth",IF(T70=F70,"Balance-sheet leverage",IF(T70=I70,"Negative momentum","High volatility/drawdown")))))</f>
        <v/>
      </c>
      <c r="T70" s="3" t="n">
        <f aca="false">MIN(C70,E70,F70,I70,J70)</f>
        <v>50</v>
      </c>
      <c r="U70" s="3" t="n">
        <f aca="false">IF(B70=TRUE(),N70,-1000+ROW()/1000000)</f>
        <v>-999.99993</v>
      </c>
    </row>
    <row r="71" customFormat="false" ht="15" hidden="false" customHeight="false" outlineLevel="0" collapsed="false">
      <c r="A71" s="7" t="str">
        <f aca="false">Tickers!A71</f>
        <v>CGCL</v>
      </c>
      <c r="B71" s="19" t="b">
        <f aca="false">Tickers!F71</f>
        <v>0</v>
      </c>
      <c r="C71" s="5" t="n">
        <f aca="false">AVERAGE(IF(NOT(ISNUMBER(Fundamentals!C71)),50,IF(Fundamentals!C71&lt;=0,15,100*(1-(SUMPRODUCT(($B$2:$B$151=TRUE())*ISNUMBER(Fundamentals!$C$2:$C$151)*(Fundamentals!$C$2:$C$151&gt;0)*(Fundamentals!$C$2:$C$151&lt;Fundamentals!C71))/MAX(1,SUMPRODUCT(($B$2:$B$151=TRUE())*ISNUMBER(Fundamentals!$C$2:$C$151)*(Fundamentals!$C$2:$C$151&gt;0))))))),IF(NOT(ISNUMBER(Fundamentals!E71)),50,IF(Fundamentals!E71&lt;=0,15,100*(1-(SUMPRODUCT(($B$2:$B$151=TRUE())*ISNUMBER(Fundamentals!$E$2:$E$151)*(Fundamentals!$E$2:$E$151&gt;0)*(Fundamentals!$E$2:$E$151&lt;Fundamentals!E71))/MAX(1,SUMPRODUCT(($B$2:$B$151=TRUE())*ISNUMBER(Fundamentals!$E$2:$E$151)*(Fundamentals!$E$2:$E$151&gt;0))))))))</f>
        <v>50</v>
      </c>
      <c r="D71" s="5" t="n">
        <f aca="false">AVERAGE(IF(NOT(ISNUMBER(Fundamentals!F71)),50,100*(SUMPRODUCT(($B$2:$B$151=TRUE())*ISNUMBER(Fundamentals!$F$2:$F$151)*(Fundamentals!$F$2:$F$151&lt;Fundamentals!F71))/MAX(1,SUMPRODUCT(($B$2:$B$151=TRUE())*ISNUMBER(Fundamentals!$F$2:$F$151))))),IF(NOT(ISNUMBER(Fundamentals!J71)),50,100*(SUMPRODUCT(($B$2:$B$151=TRUE())*ISNUMBER(Fundamentals!$J$2:$J$151)*(Fundamentals!$J$2:$J$151&lt;Fundamentals!J71))/MAX(1,SUMPRODUCT(($B$2:$B$151=TRUE())*ISNUMBER(Fundamentals!$J$2:$J$151))))))</f>
        <v>50</v>
      </c>
      <c r="E71" s="5" t="n">
        <f aca="false">AVERAGE(IF(NOT(ISNUMBER(Fundamentals!H71)),50,100*(SUMPRODUCT(($B$2:$B$151=TRUE())*ISNUMBER(Fundamentals!$H$2:$H$151)*(Fundamentals!$H$2:$H$151&lt;Fundamentals!H71))/MAX(1,SUMPRODUCT(($B$2:$B$151=TRUE())*ISNUMBER(Fundamentals!$H$2:$H$151))))),IF(NOT(ISNUMBER(Fundamentals!I71)),50,100*(SUMPRODUCT(($B$2:$B$151=TRUE())*ISNUMBER(Fundamentals!$I$2:$I$151)*(Fundamentals!$I$2:$I$151&lt;Fundamentals!I71))/MAX(1,SUMPRODUCT(($B$2:$B$151=TRUE())*ISNUMBER(Fundamentals!$I$2:$I$151))))))</f>
        <v>50</v>
      </c>
      <c r="F71" s="5" t="n">
        <f aca="false">IF(Tickers!C71="Financial Services",50,IF(NOT(ISNUMBER(Fundamentals!G71)),50,100*(1-(SUMPRODUCT(($B$2:$B$151=TRUE())*ISNUMBER(Fundamentals!$G$2:$G$151)*(Fundamentals!$G$2:$G$151&lt;Fundamentals!G71))/MAX(1,SUMPRODUCT(($B$2:$B$151=TRUE())*ISNUMBER(Fundamentals!$G$2:$G$151)))))))</f>
        <v>50</v>
      </c>
      <c r="G71" s="5" t="n">
        <f aca="false">AVERAGE(C71:F71)</f>
        <v>50</v>
      </c>
      <c r="H71" s="5" t="n">
        <f aca="false">MIN(100,MAX(0,IF(NOT(ISNUMBER(PriceMetrics!K71)),50,100*(SUMPRODUCT(($B$2:$B$151=TRUE())*ISNUMBER(PriceMetrics!$K$2:$K$151)*(PriceMetrics!$K$2:$K$151&lt;PriceMetrics!K71))/MAX(1,SUMPRODUCT(($B$2:$B$151=TRUE())*ISNUMBER(PriceMetrics!$K$2:$K$151)))))+IF(ISNUMBER(PriceMetrics!L71),10*PriceMetrics!L71,0)))</f>
        <v>50</v>
      </c>
      <c r="I71" s="5" t="n">
        <f aca="false">0.6*IF(NOT(ISNUMBER(PriceMetrics!P71)),50,100*(SUMPRODUCT(($B$2:$B$151=TRUE())*ISNUMBER(PriceMetrics!$P$2:$P$151)*(PriceMetrics!$P$2:$P$151&lt;PriceMetrics!P71))/MAX(1,SUMPRODUCT(($B$2:$B$151=TRUE())*ISNUMBER(PriceMetrics!$P$2:$P$151)))))+0.4*IF(NOT(ISNUMBER(PriceMetrics!H71)),50,IF(PriceMetrics!H71&gt;70,40,IF(PriceMetrics!H71&gt;=50,100,IF(PriceMetrics!H71&gt;=35,60,30))))</f>
        <v>50</v>
      </c>
      <c r="J71" s="5" t="n">
        <f aca="false">AVERAGE(IF(NOT(ISNUMBER(PriceMetrics!F71)),50,100*(1-(SUMPRODUCT(($B$2:$B$151=TRUE())*ISNUMBER(PriceMetrics!$F$2:$F$151)*(PriceMetrics!$F$2:$F$151&lt;PriceMetrics!F71))/MAX(1,SUMPRODUCT(($B$2:$B$151=TRUE())*ISNUMBER(PriceMetrics!$F$2:$F$151)))))),IF(NOT(ISNUMBER(PriceMetrics!G71)),50,100*(1-(SUMPRODUCT(($B$2:$B$151=TRUE())*ISNUMBER(PriceMetrics!$G$2:$G$151)*(ABS(PriceMetrics!$G$2:$G$151)&lt;ABS(PriceMetrics!G71)))/MAX(1,SUMPRODUCT(($B$2:$B$151=TRUE())*ISNUMBER(PriceMetrics!$G$2:$G$151)))))))</f>
        <v>50</v>
      </c>
      <c r="K71" s="5" t="n">
        <f aca="false">AVERAGE(H71:J71)</f>
        <v>50</v>
      </c>
      <c r="L71" s="8" t="n">
        <f aca="false">Macro!$B$26</f>
        <v>53.5</v>
      </c>
      <c r="M71" s="5" t="n">
        <f aca="false">Control!$B$3*100*G71/100+Control!$B$4*K71+Control!$B$5*L71</f>
        <v>50.7</v>
      </c>
      <c r="N71" s="3" t="n">
        <f aca="false">M71+ROW()/1000000</f>
        <v>50.700071</v>
      </c>
      <c r="O71" s="5" t="n">
        <f aca="false">M71-IF(AND(Tickers!D71="SMALLCAP100",Macro!$B$26&lt;40),Control!$B$11,0)</f>
        <v>50.7</v>
      </c>
      <c r="P71" s="3" t="str">
        <f aca="false">IF(B71=FALSE(),"-",IF(O71&gt;=Control!$B$7,"BUY",IF(O71&gt;=Control!$B$8,"ACCUMULATE",IF(O71&gt;=Control!$B$9,"HOLD","AVOID"))))</f>
        <v>-</v>
      </c>
      <c r="Q71" s="3" t="str">
        <f aca="false">IF(B71=FALSE(),"",IF(OR(O71&gt;=72,O71&lt;=32),"High",IF(OR(O71&gt;=62,O71&lt;=42),"Medium","Low")))</f>
        <v/>
      </c>
      <c r="R71" s="12" t="n">
        <f aca="false">IF(P71="BUY",Control!$B$12,IF(P71="ACCUMULATE",Control!$B$13,0))</f>
        <v>0</v>
      </c>
      <c r="S71" s="3" t="str">
        <f aca="false">IF(B71=FALSE(),"",IF(T71=C71,"Rich valuation",IF(T71=E71,"Weak growth",IF(T71=F71,"Balance-sheet leverage",IF(T71=I71,"Negative momentum","High volatility/drawdown")))))</f>
        <v/>
      </c>
      <c r="T71" s="3" t="n">
        <f aca="false">MIN(C71,E71,F71,I71,J71)</f>
        <v>50</v>
      </c>
      <c r="U71" s="3" t="n">
        <f aca="false">IF(B71=TRUE(),N71,-1000+ROW()/1000000)</f>
        <v>-999.999929</v>
      </c>
    </row>
    <row r="72" customFormat="false" ht="15" hidden="false" customHeight="false" outlineLevel="0" collapsed="false">
      <c r="A72" s="7" t="str">
        <f aca="false">Tickers!A72</f>
        <v>CASTROLIND</v>
      </c>
      <c r="B72" s="19" t="b">
        <f aca="false">Tickers!F72</f>
        <v>0</v>
      </c>
      <c r="C72" s="5" t="n">
        <f aca="false">AVERAGE(IF(NOT(ISNUMBER(Fundamentals!C72)),50,IF(Fundamentals!C72&lt;=0,15,100*(1-(SUMPRODUCT(($B$2:$B$151=TRUE())*ISNUMBER(Fundamentals!$C$2:$C$151)*(Fundamentals!$C$2:$C$151&gt;0)*(Fundamentals!$C$2:$C$151&lt;Fundamentals!C72))/MAX(1,SUMPRODUCT(($B$2:$B$151=TRUE())*ISNUMBER(Fundamentals!$C$2:$C$151)*(Fundamentals!$C$2:$C$151&gt;0))))))),IF(NOT(ISNUMBER(Fundamentals!E72)),50,IF(Fundamentals!E72&lt;=0,15,100*(1-(SUMPRODUCT(($B$2:$B$151=TRUE())*ISNUMBER(Fundamentals!$E$2:$E$151)*(Fundamentals!$E$2:$E$151&gt;0)*(Fundamentals!$E$2:$E$151&lt;Fundamentals!E72))/MAX(1,SUMPRODUCT(($B$2:$B$151=TRUE())*ISNUMBER(Fundamentals!$E$2:$E$151)*(Fundamentals!$E$2:$E$151&gt;0))))))))</f>
        <v>50</v>
      </c>
      <c r="D72" s="5" t="n">
        <f aca="false">AVERAGE(IF(NOT(ISNUMBER(Fundamentals!F72)),50,100*(SUMPRODUCT(($B$2:$B$151=TRUE())*ISNUMBER(Fundamentals!$F$2:$F$151)*(Fundamentals!$F$2:$F$151&lt;Fundamentals!F72))/MAX(1,SUMPRODUCT(($B$2:$B$151=TRUE())*ISNUMBER(Fundamentals!$F$2:$F$151))))),IF(NOT(ISNUMBER(Fundamentals!J72)),50,100*(SUMPRODUCT(($B$2:$B$151=TRUE())*ISNUMBER(Fundamentals!$J$2:$J$151)*(Fundamentals!$J$2:$J$151&lt;Fundamentals!J72))/MAX(1,SUMPRODUCT(($B$2:$B$151=TRUE())*ISNUMBER(Fundamentals!$J$2:$J$151))))))</f>
        <v>50</v>
      </c>
      <c r="E72" s="5" t="n">
        <f aca="false">AVERAGE(IF(NOT(ISNUMBER(Fundamentals!H72)),50,100*(SUMPRODUCT(($B$2:$B$151=TRUE())*ISNUMBER(Fundamentals!$H$2:$H$151)*(Fundamentals!$H$2:$H$151&lt;Fundamentals!H72))/MAX(1,SUMPRODUCT(($B$2:$B$151=TRUE())*ISNUMBER(Fundamentals!$H$2:$H$151))))),IF(NOT(ISNUMBER(Fundamentals!I72)),50,100*(SUMPRODUCT(($B$2:$B$151=TRUE())*ISNUMBER(Fundamentals!$I$2:$I$151)*(Fundamentals!$I$2:$I$151&lt;Fundamentals!I72))/MAX(1,SUMPRODUCT(($B$2:$B$151=TRUE())*ISNUMBER(Fundamentals!$I$2:$I$151))))))</f>
        <v>50</v>
      </c>
      <c r="F72" s="5" t="n">
        <f aca="false">IF(Tickers!C72="Financial Services",50,IF(NOT(ISNUMBER(Fundamentals!G72)),50,100*(1-(SUMPRODUCT(($B$2:$B$151=TRUE())*ISNUMBER(Fundamentals!$G$2:$G$151)*(Fundamentals!$G$2:$G$151&lt;Fundamentals!G72))/MAX(1,SUMPRODUCT(($B$2:$B$151=TRUE())*ISNUMBER(Fundamentals!$G$2:$G$151)))))))</f>
        <v>50</v>
      </c>
      <c r="G72" s="5" t="n">
        <f aca="false">AVERAGE(C72:F72)</f>
        <v>50</v>
      </c>
      <c r="H72" s="5" t="n">
        <f aca="false">MIN(100,MAX(0,IF(NOT(ISNUMBER(PriceMetrics!K72)),50,100*(SUMPRODUCT(($B$2:$B$151=TRUE())*ISNUMBER(PriceMetrics!$K$2:$K$151)*(PriceMetrics!$K$2:$K$151&lt;PriceMetrics!K72))/MAX(1,SUMPRODUCT(($B$2:$B$151=TRUE())*ISNUMBER(PriceMetrics!$K$2:$K$151)))))+IF(ISNUMBER(PriceMetrics!L72),10*PriceMetrics!L72,0)))</f>
        <v>50</v>
      </c>
      <c r="I72" s="5" t="n">
        <f aca="false">0.6*IF(NOT(ISNUMBER(PriceMetrics!P72)),50,100*(SUMPRODUCT(($B$2:$B$151=TRUE())*ISNUMBER(PriceMetrics!$P$2:$P$151)*(PriceMetrics!$P$2:$P$151&lt;PriceMetrics!P72))/MAX(1,SUMPRODUCT(($B$2:$B$151=TRUE())*ISNUMBER(PriceMetrics!$P$2:$P$151)))))+0.4*IF(NOT(ISNUMBER(PriceMetrics!H72)),50,IF(PriceMetrics!H72&gt;70,40,IF(PriceMetrics!H72&gt;=50,100,IF(PriceMetrics!H72&gt;=35,60,30))))</f>
        <v>50</v>
      </c>
      <c r="J72" s="5" t="n">
        <f aca="false">AVERAGE(IF(NOT(ISNUMBER(PriceMetrics!F72)),50,100*(1-(SUMPRODUCT(($B$2:$B$151=TRUE())*ISNUMBER(PriceMetrics!$F$2:$F$151)*(PriceMetrics!$F$2:$F$151&lt;PriceMetrics!F72))/MAX(1,SUMPRODUCT(($B$2:$B$151=TRUE())*ISNUMBER(PriceMetrics!$F$2:$F$151)))))),IF(NOT(ISNUMBER(PriceMetrics!G72)),50,100*(1-(SUMPRODUCT(($B$2:$B$151=TRUE())*ISNUMBER(PriceMetrics!$G$2:$G$151)*(ABS(PriceMetrics!$G$2:$G$151)&lt;ABS(PriceMetrics!G72)))/MAX(1,SUMPRODUCT(($B$2:$B$151=TRUE())*ISNUMBER(PriceMetrics!$G$2:$G$151)))))))</f>
        <v>50</v>
      </c>
      <c r="K72" s="5" t="n">
        <f aca="false">AVERAGE(H72:J72)</f>
        <v>50</v>
      </c>
      <c r="L72" s="8" t="n">
        <f aca="false">Macro!$B$26</f>
        <v>53.5</v>
      </c>
      <c r="M72" s="5" t="n">
        <f aca="false">Control!$B$3*100*G72/100+Control!$B$4*K72+Control!$B$5*L72</f>
        <v>50.7</v>
      </c>
      <c r="N72" s="3" t="n">
        <f aca="false">M72+ROW()/1000000</f>
        <v>50.700072</v>
      </c>
      <c r="O72" s="5" t="n">
        <f aca="false">M72-IF(AND(Tickers!D72="SMALLCAP100",Macro!$B$26&lt;40),Control!$B$11,0)</f>
        <v>50.7</v>
      </c>
      <c r="P72" s="3" t="str">
        <f aca="false">IF(B72=FALSE(),"-",IF(O72&gt;=Control!$B$7,"BUY",IF(O72&gt;=Control!$B$8,"ACCUMULATE",IF(O72&gt;=Control!$B$9,"HOLD","AVOID"))))</f>
        <v>-</v>
      </c>
      <c r="Q72" s="3" t="str">
        <f aca="false">IF(B72=FALSE(),"",IF(OR(O72&gt;=72,O72&lt;=32),"High",IF(OR(O72&gt;=62,O72&lt;=42),"Medium","Low")))</f>
        <v/>
      </c>
      <c r="R72" s="12" t="n">
        <f aca="false">IF(P72="BUY",Control!$B$12,IF(P72="ACCUMULATE",Control!$B$13,0))</f>
        <v>0</v>
      </c>
      <c r="S72" s="3" t="str">
        <f aca="false">IF(B72=FALSE(),"",IF(T72=C72,"Rich valuation",IF(T72=E72,"Weak growth",IF(T72=F72,"Balance-sheet leverage",IF(T72=I72,"Negative momentum","High volatility/drawdown")))))</f>
        <v/>
      </c>
      <c r="T72" s="3" t="n">
        <f aca="false">MIN(C72,E72,F72,I72,J72)</f>
        <v>50</v>
      </c>
      <c r="U72" s="3" t="n">
        <f aca="false">IF(B72=TRUE(),N72,-1000+ROW()/1000000)</f>
        <v>-999.999928</v>
      </c>
    </row>
    <row r="73" customFormat="false" ht="15" hidden="false" customHeight="false" outlineLevel="0" collapsed="false">
      <c r="A73" s="7" t="str">
        <f aca="false">Tickers!A73</f>
        <v>CDSL</v>
      </c>
      <c r="B73" s="19" t="b">
        <f aca="false">Tickers!F73</f>
        <v>0</v>
      </c>
      <c r="C73" s="5" t="n">
        <f aca="false">AVERAGE(IF(NOT(ISNUMBER(Fundamentals!C73)),50,IF(Fundamentals!C73&lt;=0,15,100*(1-(SUMPRODUCT(($B$2:$B$151=TRUE())*ISNUMBER(Fundamentals!$C$2:$C$151)*(Fundamentals!$C$2:$C$151&gt;0)*(Fundamentals!$C$2:$C$151&lt;Fundamentals!C73))/MAX(1,SUMPRODUCT(($B$2:$B$151=TRUE())*ISNUMBER(Fundamentals!$C$2:$C$151)*(Fundamentals!$C$2:$C$151&gt;0))))))),IF(NOT(ISNUMBER(Fundamentals!E73)),50,IF(Fundamentals!E73&lt;=0,15,100*(1-(SUMPRODUCT(($B$2:$B$151=TRUE())*ISNUMBER(Fundamentals!$E$2:$E$151)*(Fundamentals!$E$2:$E$151&gt;0)*(Fundamentals!$E$2:$E$151&lt;Fundamentals!E73))/MAX(1,SUMPRODUCT(($B$2:$B$151=TRUE())*ISNUMBER(Fundamentals!$E$2:$E$151)*(Fundamentals!$E$2:$E$151&gt;0))))))))</f>
        <v>50</v>
      </c>
      <c r="D73" s="5" t="n">
        <f aca="false">AVERAGE(IF(NOT(ISNUMBER(Fundamentals!F73)),50,100*(SUMPRODUCT(($B$2:$B$151=TRUE())*ISNUMBER(Fundamentals!$F$2:$F$151)*(Fundamentals!$F$2:$F$151&lt;Fundamentals!F73))/MAX(1,SUMPRODUCT(($B$2:$B$151=TRUE())*ISNUMBER(Fundamentals!$F$2:$F$151))))),IF(NOT(ISNUMBER(Fundamentals!J73)),50,100*(SUMPRODUCT(($B$2:$B$151=TRUE())*ISNUMBER(Fundamentals!$J$2:$J$151)*(Fundamentals!$J$2:$J$151&lt;Fundamentals!J73))/MAX(1,SUMPRODUCT(($B$2:$B$151=TRUE())*ISNUMBER(Fundamentals!$J$2:$J$151))))))</f>
        <v>50</v>
      </c>
      <c r="E73" s="5" t="n">
        <f aca="false">AVERAGE(IF(NOT(ISNUMBER(Fundamentals!H73)),50,100*(SUMPRODUCT(($B$2:$B$151=TRUE())*ISNUMBER(Fundamentals!$H$2:$H$151)*(Fundamentals!$H$2:$H$151&lt;Fundamentals!H73))/MAX(1,SUMPRODUCT(($B$2:$B$151=TRUE())*ISNUMBER(Fundamentals!$H$2:$H$151))))),IF(NOT(ISNUMBER(Fundamentals!I73)),50,100*(SUMPRODUCT(($B$2:$B$151=TRUE())*ISNUMBER(Fundamentals!$I$2:$I$151)*(Fundamentals!$I$2:$I$151&lt;Fundamentals!I73))/MAX(1,SUMPRODUCT(($B$2:$B$151=TRUE())*ISNUMBER(Fundamentals!$I$2:$I$151))))))</f>
        <v>50</v>
      </c>
      <c r="F73" s="5" t="n">
        <f aca="false">IF(Tickers!C73="Financial Services",50,IF(NOT(ISNUMBER(Fundamentals!G73)),50,100*(1-(SUMPRODUCT(($B$2:$B$151=TRUE())*ISNUMBER(Fundamentals!$G$2:$G$151)*(Fundamentals!$G$2:$G$151&lt;Fundamentals!G73))/MAX(1,SUMPRODUCT(($B$2:$B$151=TRUE())*ISNUMBER(Fundamentals!$G$2:$G$151)))))))</f>
        <v>50</v>
      </c>
      <c r="G73" s="5" t="n">
        <f aca="false">AVERAGE(C73:F73)</f>
        <v>50</v>
      </c>
      <c r="H73" s="5" t="n">
        <f aca="false">MIN(100,MAX(0,IF(NOT(ISNUMBER(PriceMetrics!K73)),50,100*(SUMPRODUCT(($B$2:$B$151=TRUE())*ISNUMBER(PriceMetrics!$K$2:$K$151)*(PriceMetrics!$K$2:$K$151&lt;PriceMetrics!K73))/MAX(1,SUMPRODUCT(($B$2:$B$151=TRUE())*ISNUMBER(PriceMetrics!$K$2:$K$151)))))+IF(ISNUMBER(PriceMetrics!L73),10*PriceMetrics!L73,0)))</f>
        <v>50</v>
      </c>
      <c r="I73" s="5" t="n">
        <f aca="false">0.6*IF(NOT(ISNUMBER(PriceMetrics!P73)),50,100*(SUMPRODUCT(($B$2:$B$151=TRUE())*ISNUMBER(PriceMetrics!$P$2:$P$151)*(PriceMetrics!$P$2:$P$151&lt;PriceMetrics!P73))/MAX(1,SUMPRODUCT(($B$2:$B$151=TRUE())*ISNUMBER(PriceMetrics!$P$2:$P$151)))))+0.4*IF(NOT(ISNUMBER(PriceMetrics!H73)),50,IF(PriceMetrics!H73&gt;70,40,IF(PriceMetrics!H73&gt;=50,100,IF(PriceMetrics!H73&gt;=35,60,30))))</f>
        <v>50</v>
      </c>
      <c r="J73" s="5" t="n">
        <f aca="false">AVERAGE(IF(NOT(ISNUMBER(PriceMetrics!F73)),50,100*(1-(SUMPRODUCT(($B$2:$B$151=TRUE())*ISNUMBER(PriceMetrics!$F$2:$F$151)*(PriceMetrics!$F$2:$F$151&lt;PriceMetrics!F73))/MAX(1,SUMPRODUCT(($B$2:$B$151=TRUE())*ISNUMBER(PriceMetrics!$F$2:$F$151)))))),IF(NOT(ISNUMBER(PriceMetrics!G73)),50,100*(1-(SUMPRODUCT(($B$2:$B$151=TRUE())*ISNUMBER(PriceMetrics!$G$2:$G$151)*(ABS(PriceMetrics!$G$2:$G$151)&lt;ABS(PriceMetrics!G73)))/MAX(1,SUMPRODUCT(($B$2:$B$151=TRUE())*ISNUMBER(PriceMetrics!$G$2:$G$151)))))))</f>
        <v>50</v>
      </c>
      <c r="K73" s="5" t="n">
        <f aca="false">AVERAGE(H73:J73)</f>
        <v>50</v>
      </c>
      <c r="L73" s="8" t="n">
        <f aca="false">Macro!$B$26</f>
        <v>53.5</v>
      </c>
      <c r="M73" s="5" t="n">
        <f aca="false">Control!$B$3*100*G73/100+Control!$B$4*K73+Control!$B$5*L73</f>
        <v>50.7</v>
      </c>
      <c r="N73" s="3" t="n">
        <f aca="false">M73+ROW()/1000000</f>
        <v>50.700073</v>
      </c>
      <c r="O73" s="5" t="n">
        <f aca="false">M73-IF(AND(Tickers!D73="SMALLCAP100",Macro!$B$26&lt;40),Control!$B$11,0)</f>
        <v>50.7</v>
      </c>
      <c r="P73" s="3" t="str">
        <f aca="false">IF(B73=FALSE(),"-",IF(O73&gt;=Control!$B$7,"BUY",IF(O73&gt;=Control!$B$8,"ACCUMULATE",IF(O73&gt;=Control!$B$9,"HOLD","AVOID"))))</f>
        <v>-</v>
      </c>
      <c r="Q73" s="3" t="str">
        <f aca="false">IF(B73=FALSE(),"",IF(OR(O73&gt;=72,O73&lt;=32),"High",IF(OR(O73&gt;=62,O73&lt;=42),"Medium","Low")))</f>
        <v/>
      </c>
      <c r="R73" s="12" t="n">
        <f aca="false">IF(P73="BUY",Control!$B$12,IF(P73="ACCUMULATE",Control!$B$13,0))</f>
        <v>0</v>
      </c>
      <c r="S73" s="3" t="str">
        <f aca="false">IF(B73=FALSE(),"",IF(T73=C73,"Rich valuation",IF(T73=E73,"Weak growth",IF(T73=F73,"Balance-sheet leverage",IF(T73=I73,"Negative momentum","High volatility/drawdown")))))</f>
        <v/>
      </c>
      <c r="T73" s="3" t="n">
        <f aca="false">MIN(C73,E73,F73,I73,J73)</f>
        <v>50</v>
      </c>
      <c r="U73" s="3" t="n">
        <f aca="false">IF(B73=TRUE(),N73,-1000+ROW()/1000000)</f>
        <v>-999.999927</v>
      </c>
    </row>
    <row r="74" customFormat="false" ht="15" hidden="false" customHeight="false" outlineLevel="0" collapsed="false">
      <c r="A74" s="7" t="str">
        <f aca="false">Tickers!A74</f>
        <v>CHAMBLFERT</v>
      </c>
      <c r="B74" s="19" t="b">
        <f aca="false">Tickers!F74</f>
        <v>0</v>
      </c>
      <c r="C74" s="5" t="n">
        <f aca="false">AVERAGE(IF(NOT(ISNUMBER(Fundamentals!C74)),50,IF(Fundamentals!C74&lt;=0,15,100*(1-(SUMPRODUCT(($B$2:$B$151=TRUE())*ISNUMBER(Fundamentals!$C$2:$C$151)*(Fundamentals!$C$2:$C$151&gt;0)*(Fundamentals!$C$2:$C$151&lt;Fundamentals!C74))/MAX(1,SUMPRODUCT(($B$2:$B$151=TRUE())*ISNUMBER(Fundamentals!$C$2:$C$151)*(Fundamentals!$C$2:$C$151&gt;0))))))),IF(NOT(ISNUMBER(Fundamentals!E74)),50,IF(Fundamentals!E74&lt;=0,15,100*(1-(SUMPRODUCT(($B$2:$B$151=TRUE())*ISNUMBER(Fundamentals!$E$2:$E$151)*(Fundamentals!$E$2:$E$151&gt;0)*(Fundamentals!$E$2:$E$151&lt;Fundamentals!E74))/MAX(1,SUMPRODUCT(($B$2:$B$151=TRUE())*ISNUMBER(Fundamentals!$E$2:$E$151)*(Fundamentals!$E$2:$E$151&gt;0))))))))</f>
        <v>50</v>
      </c>
      <c r="D74" s="5" t="n">
        <f aca="false">AVERAGE(IF(NOT(ISNUMBER(Fundamentals!F74)),50,100*(SUMPRODUCT(($B$2:$B$151=TRUE())*ISNUMBER(Fundamentals!$F$2:$F$151)*(Fundamentals!$F$2:$F$151&lt;Fundamentals!F74))/MAX(1,SUMPRODUCT(($B$2:$B$151=TRUE())*ISNUMBER(Fundamentals!$F$2:$F$151))))),IF(NOT(ISNUMBER(Fundamentals!J74)),50,100*(SUMPRODUCT(($B$2:$B$151=TRUE())*ISNUMBER(Fundamentals!$J$2:$J$151)*(Fundamentals!$J$2:$J$151&lt;Fundamentals!J74))/MAX(1,SUMPRODUCT(($B$2:$B$151=TRUE())*ISNUMBER(Fundamentals!$J$2:$J$151))))))</f>
        <v>50</v>
      </c>
      <c r="E74" s="5" t="n">
        <f aca="false">AVERAGE(IF(NOT(ISNUMBER(Fundamentals!H74)),50,100*(SUMPRODUCT(($B$2:$B$151=TRUE())*ISNUMBER(Fundamentals!$H$2:$H$151)*(Fundamentals!$H$2:$H$151&lt;Fundamentals!H74))/MAX(1,SUMPRODUCT(($B$2:$B$151=TRUE())*ISNUMBER(Fundamentals!$H$2:$H$151))))),IF(NOT(ISNUMBER(Fundamentals!I74)),50,100*(SUMPRODUCT(($B$2:$B$151=TRUE())*ISNUMBER(Fundamentals!$I$2:$I$151)*(Fundamentals!$I$2:$I$151&lt;Fundamentals!I74))/MAX(1,SUMPRODUCT(($B$2:$B$151=TRUE())*ISNUMBER(Fundamentals!$I$2:$I$151))))))</f>
        <v>50</v>
      </c>
      <c r="F74" s="5" t="n">
        <f aca="false">IF(Tickers!C74="Financial Services",50,IF(NOT(ISNUMBER(Fundamentals!G74)),50,100*(1-(SUMPRODUCT(($B$2:$B$151=TRUE())*ISNUMBER(Fundamentals!$G$2:$G$151)*(Fundamentals!$G$2:$G$151&lt;Fundamentals!G74))/MAX(1,SUMPRODUCT(($B$2:$B$151=TRUE())*ISNUMBER(Fundamentals!$G$2:$G$151)))))))</f>
        <v>50</v>
      </c>
      <c r="G74" s="5" t="n">
        <f aca="false">AVERAGE(C74:F74)</f>
        <v>50</v>
      </c>
      <c r="H74" s="5" t="n">
        <f aca="false">MIN(100,MAX(0,IF(NOT(ISNUMBER(PriceMetrics!K74)),50,100*(SUMPRODUCT(($B$2:$B$151=TRUE())*ISNUMBER(PriceMetrics!$K$2:$K$151)*(PriceMetrics!$K$2:$K$151&lt;PriceMetrics!K74))/MAX(1,SUMPRODUCT(($B$2:$B$151=TRUE())*ISNUMBER(PriceMetrics!$K$2:$K$151)))))+IF(ISNUMBER(PriceMetrics!L74),10*PriceMetrics!L74,0)))</f>
        <v>50</v>
      </c>
      <c r="I74" s="5" t="n">
        <f aca="false">0.6*IF(NOT(ISNUMBER(PriceMetrics!P74)),50,100*(SUMPRODUCT(($B$2:$B$151=TRUE())*ISNUMBER(PriceMetrics!$P$2:$P$151)*(PriceMetrics!$P$2:$P$151&lt;PriceMetrics!P74))/MAX(1,SUMPRODUCT(($B$2:$B$151=TRUE())*ISNUMBER(PriceMetrics!$P$2:$P$151)))))+0.4*IF(NOT(ISNUMBER(PriceMetrics!H74)),50,IF(PriceMetrics!H74&gt;70,40,IF(PriceMetrics!H74&gt;=50,100,IF(PriceMetrics!H74&gt;=35,60,30))))</f>
        <v>50</v>
      </c>
      <c r="J74" s="5" t="n">
        <f aca="false">AVERAGE(IF(NOT(ISNUMBER(PriceMetrics!F74)),50,100*(1-(SUMPRODUCT(($B$2:$B$151=TRUE())*ISNUMBER(PriceMetrics!$F$2:$F$151)*(PriceMetrics!$F$2:$F$151&lt;PriceMetrics!F74))/MAX(1,SUMPRODUCT(($B$2:$B$151=TRUE())*ISNUMBER(PriceMetrics!$F$2:$F$151)))))),IF(NOT(ISNUMBER(PriceMetrics!G74)),50,100*(1-(SUMPRODUCT(($B$2:$B$151=TRUE())*ISNUMBER(PriceMetrics!$G$2:$G$151)*(ABS(PriceMetrics!$G$2:$G$151)&lt;ABS(PriceMetrics!G74)))/MAX(1,SUMPRODUCT(($B$2:$B$151=TRUE())*ISNUMBER(PriceMetrics!$G$2:$G$151)))))))</f>
        <v>50</v>
      </c>
      <c r="K74" s="5" t="n">
        <f aca="false">AVERAGE(H74:J74)</f>
        <v>50</v>
      </c>
      <c r="L74" s="8" t="n">
        <f aca="false">Macro!$B$26</f>
        <v>53.5</v>
      </c>
      <c r="M74" s="5" t="n">
        <f aca="false">Control!$B$3*100*G74/100+Control!$B$4*K74+Control!$B$5*L74</f>
        <v>50.7</v>
      </c>
      <c r="N74" s="3" t="n">
        <f aca="false">M74+ROW()/1000000</f>
        <v>50.700074</v>
      </c>
      <c r="O74" s="5" t="n">
        <f aca="false">M74-IF(AND(Tickers!D74="SMALLCAP100",Macro!$B$26&lt;40),Control!$B$11,0)</f>
        <v>50.7</v>
      </c>
      <c r="P74" s="3" t="str">
        <f aca="false">IF(B74=FALSE(),"-",IF(O74&gt;=Control!$B$7,"BUY",IF(O74&gt;=Control!$B$8,"ACCUMULATE",IF(O74&gt;=Control!$B$9,"HOLD","AVOID"))))</f>
        <v>-</v>
      </c>
      <c r="Q74" s="3" t="str">
        <f aca="false">IF(B74=FALSE(),"",IF(OR(O74&gt;=72,O74&lt;=32),"High",IF(OR(O74&gt;=62,O74&lt;=42),"Medium","Low")))</f>
        <v/>
      </c>
      <c r="R74" s="12" t="n">
        <f aca="false">IF(P74="BUY",Control!$B$12,IF(P74="ACCUMULATE",Control!$B$13,0))</f>
        <v>0</v>
      </c>
      <c r="S74" s="3" t="str">
        <f aca="false">IF(B74=FALSE(),"",IF(T74=C74,"Rich valuation",IF(T74=E74,"Weak growth",IF(T74=F74,"Balance-sheet leverage",IF(T74=I74,"Negative momentum","High volatility/drawdown")))))</f>
        <v/>
      </c>
      <c r="T74" s="3" t="n">
        <f aca="false">MIN(C74,E74,F74,I74,J74)</f>
        <v>50</v>
      </c>
      <c r="U74" s="3" t="n">
        <f aca="false">IF(B74=TRUE(),N74,-1000+ROW()/1000000)</f>
        <v>-999.999926</v>
      </c>
    </row>
    <row r="75" customFormat="false" ht="15" hidden="false" customHeight="false" outlineLevel="0" collapsed="false">
      <c r="A75" s="7" t="str">
        <f aca="false">Tickers!A75</f>
        <v>CHOLAHLDNG</v>
      </c>
      <c r="B75" s="19" t="b">
        <f aca="false">Tickers!F75</f>
        <v>0</v>
      </c>
      <c r="C75" s="5" t="n">
        <f aca="false">AVERAGE(IF(NOT(ISNUMBER(Fundamentals!C75)),50,IF(Fundamentals!C75&lt;=0,15,100*(1-(SUMPRODUCT(($B$2:$B$151=TRUE())*ISNUMBER(Fundamentals!$C$2:$C$151)*(Fundamentals!$C$2:$C$151&gt;0)*(Fundamentals!$C$2:$C$151&lt;Fundamentals!C75))/MAX(1,SUMPRODUCT(($B$2:$B$151=TRUE())*ISNUMBER(Fundamentals!$C$2:$C$151)*(Fundamentals!$C$2:$C$151&gt;0))))))),IF(NOT(ISNUMBER(Fundamentals!E75)),50,IF(Fundamentals!E75&lt;=0,15,100*(1-(SUMPRODUCT(($B$2:$B$151=TRUE())*ISNUMBER(Fundamentals!$E$2:$E$151)*(Fundamentals!$E$2:$E$151&gt;0)*(Fundamentals!$E$2:$E$151&lt;Fundamentals!E75))/MAX(1,SUMPRODUCT(($B$2:$B$151=TRUE())*ISNUMBER(Fundamentals!$E$2:$E$151)*(Fundamentals!$E$2:$E$151&gt;0))))))))</f>
        <v>50</v>
      </c>
      <c r="D75" s="5" t="n">
        <f aca="false">AVERAGE(IF(NOT(ISNUMBER(Fundamentals!F75)),50,100*(SUMPRODUCT(($B$2:$B$151=TRUE())*ISNUMBER(Fundamentals!$F$2:$F$151)*(Fundamentals!$F$2:$F$151&lt;Fundamentals!F75))/MAX(1,SUMPRODUCT(($B$2:$B$151=TRUE())*ISNUMBER(Fundamentals!$F$2:$F$151))))),IF(NOT(ISNUMBER(Fundamentals!J75)),50,100*(SUMPRODUCT(($B$2:$B$151=TRUE())*ISNUMBER(Fundamentals!$J$2:$J$151)*(Fundamentals!$J$2:$J$151&lt;Fundamentals!J75))/MAX(1,SUMPRODUCT(($B$2:$B$151=TRUE())*ISNUMBER(Fundamentals!$J$2:$J$151))))))</f>
        <v>50</v>
      </c>
      <c r="E75" s="5" t="n">
        <f aca="false">AVERAGE(IF(NOT(ISNUMBER(Fundamentals!H75)),50,100*(SUMPRODUCT(($B$2:$B$151=TRUE())*ISNUMBER(Fundamentals!$H$2:$H$151)*(Fundamentals!$H$2:$H$151&lt;Fundamentals!H75))/MAX(1,SUMPRODUCT(($B$2:$B$151=TRUE())*ISNUMBER(Fundamentals!$H$2:$H$151))))),IF(NOT(ISNUMBER(Fundamentals!I75)),50,100*(SUMPRODUCT(($B$2:$B$151=TRUE())*ISNUMBER(Fundamentals!$I$2:$I$151)*(Fundamentals!$I$2:$I$151&lt;Fundamentals!I75))/MAX(1,SUMPRODUCT(($B$2:$B$151=TRUE())*ISNUMBER(Fundamentals!$I$2:$I$151))))))</f>
        <v>50</v>
      </c>
      <c r="F75" s="5" t="n">
        <f aca="false">IF(Tickers!C75="Financial Services",50,IF(NOT(ISNUMBER(Fundamentals!G75)),50,100*(1-(SUMPRODUCT(($B$2:$B$151=TRUE())*ISNUMBER(Fundamentals!$G$2:$G$151)*(Fundamentals!$G$2:$G$151&lt;Fundamentals!G75))/MAX(1,SUMPRODUCT(($B$2:$B$151=TRUE())*ISNUMBER(Fundamentals!$G$2:$G$151)))))))</f>
        <v>50</v>
      </c>
      <c r="G75" s="5" t="n">
        <f aca="false">AVERAGE(C75:F75)</f>
        <v>50</v>
      </c>
      <c r="H75" s="5" t="n">
        <f aca="false">MIN(100,MAX(0,IF(NOT(ISNUMBER(PriceMetrics!K75)),50,100*(SUMPRODUCT(($B$2:$B$151=TRUE())*ISNUMBER(PriceMetrics!$K$2:$K$151)*(PriceMetrics!$K$2:$K$151&lt;PriceMetrics!K75))/MAX(1,SUMPRODUCT(($B$2:$B$151=TRUE())*ISNUMBER(PriceMetrics!$K$2:$K$151)))))+IF(ISNUMBER(PriceMetrics!L75),10*PriceMetrics!L75,0)))</f>
        <v>50</v>
      </c>
      <c r="I75" s="5" t="n">
        <f aca="false">0.6*IF(NOT(ISNUMBER(PriceMetrics!P75)),50,100*(SUMPRODUCT(($B$2:$B$151=TRUE())*ISNUMBER(PriceMetrics!$P$2:$P$151)*(PriceMetrics!$P$2:$P$151&lt;PriceMetrics!P75))/MAX(1,SUMPRODUCT(($B$2:$B$151=TRUE())*ISNUMBER(PriceMetrics!$P$2:$P$151)))))+0.4*IF(NOT(ISNUMBER(PriceMetrics!H75)),50,IF(PriceMetrics!H75&gt;70,40,IF(PriceMetrics!H75&gt;=50,100,IF(PriceMetrics!H75&gt;=35,60,30))))</f>
        <v>50</v>
      </c>
      <c r="J75" s="5" t="n">
        <f aca="false">AVERAGE(IF(NOT(ISNUMBER(PriceMetrics!F75)),50,100*(1-(SUMPRODUCT(($B$2:$B$151=TRUE())*ISNUMBER(PriceMetrics!$F$2:$F$151)*(PriceMetrics!$F$2:$F$151&lt;PriceMetrics!F75))/MAX(1,SUMPRODUCT(($B$2:$B$151=TRUE())*ISNUMBER(PriceMetrics!$F$2:$F$151)))))),IF(NOT(ISNUMBER(PriceMetrics!G75)),50,100*(1-(SUMPRODUCT(($B$2:$B$151=TRUE())*ISNUMBER(PriceMetrics!$G$2:$G$151)*(ABS(PriceMetrics!$G$2:$G$151)&lt;ABS(PriceMetrics!G75)))/MAX(1,SUMPRODUCT(($B$2:$B$151=TRUE())*ISNUMBER(PriceMetrics!$G$2:$G$151)))))))</f>
        <v>50</v>
      </c>
      <c r="K75" s="5" t="n">
        <f aca="false">AVERAGE(H75:J75)</f>
        <v>50</v>
      </c>
      <c r="L75" s="8" t="n">
        <f aca="false">Macro!$B$26</f>
        <v>53.5</v>
      </c>
      <c r="M75" s="5" t="n">
        <f aca="false">Control!$B$3*100*G75/100+Control!$B$4*K75+Control!$B$5*L75</f>
        <v>50.7</v>
      </c>
      <c r="N75" s="3" t="n">
        <f aca="false">M75+ROW()/1000000</f>
        <v>50.700075</v>
      </c>
      <c r="O75" s="5" t="n">
        <f aca="false">M75-IF(AND(Tickers!D75="SMALLCAP100",Macro!$B$26&lt;40),Control!$B$11,0)</f>
        <v>50.7</v>
      </c>
      <c r="P75" s="3" t="str">
        <f aca="false">IF(B75=FALSE(),"-",IF(O75&gt;=Control!$B$7,"BUY",IF(O75&gt;=Control!$B$8,"ACCUMULATE",IF(O75&gt;=Control!$B$9,"HOLD","AVOID"))))</f>
        <v>-</v>
      </c>
      <c r="Q75" s="3" t="str">
        <f aca="false">IF(B75=FALSE(),"",IF(OR(O75&gt;=72,O75&lt;=32),"High",IF(OR(O75&gt;=62,O75&lt;=42),"Medium","Low")))</f>
        <v/>
      </c>
      <c r="R75" s="12" t="n">
        <f aca="false">IF(P75="BUY",Control!$B$12,IF(P75="ACCUMULATE",Control!$B$13,0))</f>
        <v>0</v>
      </c>
      <c r="S75" s="3" t="str">
        <f aca="false">IF(B75=FALSE(),"",IF(T75=C75,"Rich valuation",IF(T75=E75,"Weak growth",IF(T75=F75,"Balance-sheet leverage",IF(T75=I75,"Negative momentum","High volatility/drawdown")))))</f>
        <v/>
      </c>
      <c r="T75" s="3" t="n">
        <f aca="false">MIN(C75,E75,F75,I75,J75)</f>
        <v>50</v>
      </c>
      <c r="U75" s="3" t="n">
        <f aca="false">IF(B75=TRUE(),N75,-1000+ROW()/1000000)</f>
        <v>-999.999925</v>
      </c>
    </row>
    <row r="76" customFormat="false" ht="15" hidden="false" customHeight="false" outlineLevel="0" collapsed="false">
      <c r="A76" s="7" t="str">
        <f aca="false">Tickers!A76</f>
        <v>CUB</v>
      </c>
      <c r="B76" s="19" t="b">
        <f aca="false">Tickers!F76</f>
        <v>0</v>
      </c>
      <c r="C76" s="5" t="n">
        <f aca="false">AVERAGE(IF(NOT(ISNUMBER(Fundamentals!C76)),50,IF(Fundamentals!C76&lt;=0,15,100*(1-(SUMPRODUCT(($B$2:$B$151=TRUE())*ISNUMBER(Fundamentals!$C$2:$C$151)*(Fundamentals!$C$2:$C$151&gt;0)*(Fundamentals!$C$2:$C$151&lt;Fundamentals!C76))/MAX(1,SUMPRODUCT(($B$2:$B$151=TRUE())*ISNUMBER(Fundamentals!$C$2:$C$151)*(Fundamentals!$C$2:$C$151&gt;0))))))),IF(NOT(ISNUMBER(Fundamentals!E76)),50,IF(Fundamentals!E76&lt;=0,15,100*(1-(SUMPRODUCT(($B$2:$B$151=TRUE())*ISNUMBER(Fundamentals!$E$2:$E$151)*(Fundamentals!$E$2:$E$151&gt;0)*(Fundamentals!$E$2:$E$151&lt;Fundamentals!E76))/MAX(1,SUMPRODUCT(($B$2:$B$151=TRUE())*ISNUMBER(Fundamentals!$E$2:$E$151)*(Fundamentals!$E$2:$E$151&gt;0))))))))</f>
        <v>50</v>
      </c>
      <c r="D76" s="5" t="n">
        <f aca="false">AVERAGE(IF(NOT(ISNUMBER(Fundamentals!F76)),50,100*(SUMPRODUCT(($B$2:$B$151=TRUE())*ISNUMBER(Fundamentals!$F$2:$F$151)*(Fundamentals!$F$2:$F$151&lt;Fundamentals!F76))/MAX(1,SUMPRODUCT(($B$2:$B$151=TRUE())*ISNUMBER(Fundamentals!$F$2:$F$151))))),IF(NOT(ISNUMBER(Fundamentals!J76)),50,100*(SUMPRODUCT(($B$2:$B$151=TRUE())*ISNUMBER(Fundamentals!$J$2:$J$151)*(Fundamentals!$J$2:$J$151&lt;Fundamentals!J76))/MAX(1,SUMPRODUCT(($B$2:$B$151=TRUE())*ISNUMBER(Fundamentals!$J$2:$J$151))))))</f>
        <v>50</v>
      </c>
      <c r="E76" s="5" t="n">
        <f aca="false">AVERAGE(IF(NOT(ISNUMBER(Fundamentals!H76)),50,100*(SUMPRODUCT(($B$2:$B$151=TRUE())*ISNUMBER(Fundamentals!$H$2:$H$151)*(Fundamentals!$H$2:$H$151&lt;Fundamentals!H76))/MAX(1,SUMPRODUCT(($B$2:$B$151=TRUE())*ISNUMBER(Fundamentals!$H$2:$H$151))))),IF(NOT(ISNUMBER(Fundamentals!I76)),50,100*(SUMPRODUCT(($B$2:$B$151=TRUE())*ISNUMBER(Fundamentals!$I$2:$I$151)*(Fundamentals!$I$2:$I$151&lt;Fundamentals!I76))/MAX(1,SUMPRODUCT(($B$2:$B$151=TRUE())*ISNUMBER(Fundamentals!$I$2:$I$151))))))</f>
        <v>50</v>
      </c>
      <c r="F76" s="5" t="n">
        <f aca="false">IF(Tickers!C76="Financial Services",50,IF(NOT(ISNUMBER(Fundamentals!G76)),50,100*(1-(SUMPRODUCT(($B$2:$B$151=TRUE())*ISNUMBER(Fundamentals!$G$2:$G$151)*(Fundamentals!$G$2:$G$151&lt;Fundamentals!G76))/MAX(1,SUMPRODUCT(($B$2:$B$151=TRUE())*ISNUMBER(Fundamentals!$G$2:$G$151)))))))</f>
        <v>50</v>
      </c>
      <c r="G76" s="5" t="n">
        <f aca="false">AVERAGE(C76:F76)</f>
        <v>50</v>
      </c>
      <c r="H76" s="5" t="n">
        <f aca="false">MIN(100,MAX(0,IF(NOT(ISNUMBER(PriceMetrics!K76)),50,100*(SUMPRODUCT(($B$2:$B$151=TRUE())*ISNUMBER(PriceMetrics!$K$2:$K$151)*(PriceMetrics!$K$2:$K$151&lt;PriceMetrics!K76))/MAX(1,SUMPRODUCT(($B$2:$B$151=TRUE())*ISNUMBER(PriceMetrics!$K$2:$K$151)))))+IF(ISNUMBER(PriceMetrics!L76),10*PriceMetrics!L76,0)))</f>
        <v>50</v>
      </c>
      <c r="I76" s="5" t="n">
        <f aca="false">0.6*IF(NOT(ISNUMBER(PriceMetrics!P76)),50,100*(SUMPRODUCT(($B$2:$B$151=TRUE())*ISNUMBER(PriceMetrics!$P$2:$P$151)*(PriceMetrics!$P$2:$P$151&lt;PriceMetrics!P76))/MAX(1,SUMPRODUCT(($B$2:$B$151=TRUE())*ISNUMBER(PriceMetrics!$P$2:$P$151)))))+0.4*IF(NOT(ISNUMBER(PriceMetrics!H76)),50,IF(PriceMetrics!H76&gt;70,40,IF(PriceMetrics!H76&gt;=50,100,IF(PriceMetrics!H76&gt;=35,60,30))))</f>
        <v>50</v>
      </c>
      <c r="J76" s="5" t="n">
        <f aca="false">AVERAGE(IF(NOT(ISNUMBER(PriceMetrics!F76)),50,100*(1-(SUMPRODUCT(($B$2:$B$151=TRUE())*ISNUMBER(PriceMetrics!$F$2:$F$151)*(PriceMetrics!$F$2:$F$151&lt;PriceMetrics!F76))/MAX(1,SUMPRODUCT(($B$2:$B$151=TRUE())*ISNUMBER(PriceMetrics!$F$2:$F$151)))))),IF(NOT(ISNUMBER(PriceMetrics!G76)),50,100*(1-(SUMPRODUCT(($B$2:$B$151=TRUE())*ISNUMBER(PriceMetrics!$G$2:$G$151)*(ABS(PriceMetrics!$G$2:$G$151)&lt;ABS(PriceMetrics!G76)))/MAX(1,SUMPRODUCT(($B$2:$B$151=TRUE())*ISNUMBER(PriceMetrics!$G$2:$G$151)))))))</f>
        <v>50</v>
      </c>
      <c r="K76" s="5" t="n">
        <f aca="false">AVERAGE(H76:J76)</f>
        <v>50</v>
      </c>
      <c r="L76" s="8" t="n">
        <f aca="false">Macro!$B$26</f>
        <v>53.5</v>
      </c>
      <c r="M76" s="5" t="n">
        <f aca="false">Control!$B$3*100*G76/100+Control!$B$4*K76+Control!$B$5*L76</f>
        <v>50.7</v>
      </c>
      <c r="N76" s="3" t="n">
        <f aca="false">M76+ROW()/1000000</f>
        <v>50.700076</v>
      </c>
      <c r="O76" s="5" t="n">
        <f aca="false">M76-IF(AND(Tickers!D76="SMALLCAP100",Macro!$B$26&lt;40),Control!$B$11,0)</f>
        <v>50.7</v>
      </c>
      <c r="P76" s="3" t="str">
        <f aca="false">IF(B76=FALSE(),"-",IF(O76&gt;=Control!$B$7,"BUY",IF(O76&gt;=Control!$B$8,"ACCUMULATE",IF(O76&gt;=Control!$B$9,"HOLD","AVOID"))))</f>
        <v>-</v>
      </c>
      <c r="Q76" s="3" t="str">
        <f aca="false">IF(B76=FALSE(),"",IF(OR(O76&gt;=72,O76&lt;=32),"High",IF(OR(O76&gt;=62,O76&lt;=42),"Medium","Low")))</f>
        <v/>
      </c>
      <c r="R76" s="12" t="n">
        <f aca="false">IF(P76="BUY",Control!$B$12,IF(P76="ACCUMULATE",Control!$B$13,0))</f>
        <v>0</v>
      </c>
      <c r="S76" s="3" t="str">
        <f aca="false">IF(B76=FALSE(),"",IF(T76=C76,"Rich valuation",IF(T76=E76,"Weak growth",IF(T76=F76,"Balance-sheet leverage",IF(T76=I76,"Negative momentum","High volatility/drawdown")))))</f>
        <v/>
      </c>
      <c r="T76" s="3" t="n">
        <f aca="false">MIN(C76,E76,F76,I76,J76)</f>
        <v>50</v>
      </c>
      <c r="U76" s="3" t="n">
        <f aca="false">IF(B76=TRUE(),N76,-1000+ROW()/1000000)</f>
        <v>-999.999924</v>
      </c>
    </row>
    <row r="77" customFormat="false" ht="15" hidden="false" customHeight="false" outlineLevel="0" collapsed="false">
      <c r="A77" s="7" t="str">
        <f aca="false">Tickers!A77</f>
        <v>COHANCE</v>
      </c>
      <c r="B77" s="19" t="b">
        <f aca="false">Tickers!F77</f>
        <v>0</v>
      </c>
      <c r="C77" s="5" t="n">
        <f aca="false">AVERAGE(IF(NOT(ISNUMBER(Fundamentals!C77)),50,IF(Fundamentals!C77&lt;=0,15,100*(1-(SUMPRODUCT(($B$2:$B$151=TRUE())*ISNUMBER(Fundamentals!$C$2:$C$151)*(Fundamentals!$C$2:$C$151&gt;0)*(Fundamentals!$C$2:$C$151&lt;Fundamentals!C77))/MAX(1,SUMPRODUCT(($B$2:$B$151=TRUE())*ISNUMBER(Fundamentals!$C$2:$C$151)*(Fundamentals!$C$2:$C$151&gt;0))))))),IF(NOT(ISNUMBER(Fundamentals!E77)),50,IF(Fundamentals!E77&lt;=0,15,100*(1-(SUMPRODUCT(($B$2:$B$151=TRUE())*ISNUMBER(Fundamentals!$E$2:$E$151)*(Fundamentals!$E$2:$E$151&gt;0)*(Fundamentals!$E$2:$E$151&lt;Fundamentals!E77))/MAX(1,SUMPRODUCT(($B$2:$B$151=TRUE())*ISNUMBER(Fundamentals!$E$2:$E$151)*(Fundamentals!$E$2:$E$151&gt;0))))))))</f>
        <v>50</v>
      </c>
      <c r="D77" s="5" t="n">
        <f aca="false">AVERAGE(IF(NOT(ISNUMBER(Fundamentals!F77)),50,100*(SUMPRODUCT(($B$2:$B$151=TRUE())*ISNUMBER(Fundamentals!$F$2:$F$151)*(Fundamentals!$F$2:$F$151&lt;Fundamentals!F77))/MAX(1,SUMPRODUCT(($B$2:$B$151=TRUE())*ISNUMBER(Fundamentals!$F$2:$F$151))))),IF(NOT(ISNUMBER(Fundamentals!J77)),50,100*(SUMPRODUCT(($B$2:$B$151=TRUE())*ISNUMBER(Fundamentals!$J$2:$J$151)*(Fundamentals!$J$2:$J$151&lt;Fundamentals!J77))/MAX(1,SUMPRODUCT(($B$2:$B$151=TRUE())*ISNUMBER(Fundamentals!$J$2:$J$151))))))</f>
        <v>50</v>
      </c>
      <c r="E77" s="5" t="n">
        <f aca="false">AVERAGE(IF(NOT(ISNUMBER(Fundamentals!H77)),50,100*(SUMPRODUCT(($B$2:$B$151=TRUE())*ISNUMBER(Fundamentals!$H$2:$H$151)*(Fundamentals!$H$2:$H$151&lt;Fundamentals!H77))/MAX(1,SUMPRODUCT(($B$2:$B$151=TRUE())*ISNUMBER(Fundamentals!$H$2:$H$151))))),IF(NOT(ISNUMBER(Fundamentals!I77)),50,100*(SUMPRODUCT(($B$2:$B$151=TRUE())*ISNUMBER(Fundamentals!$I$2:$I$151)*(Fundamentals!$I$2:$I$151&lt;Fundamentals!I77))/MAX(1,SUMPRODUCT(($B$2:$B$151=TRUE())*ISNUMBER(Fundamentals!$I$2:$I$151))))))</f>
        <v>50</v>
      </c>
      <c r="F77" s="5" t="n">
        <f aca="false">IF(Tickers!C77="Financial Services",50,IF(NOT(ISNUMBER(Fundamentals!G77)),50,100*(1-(SUMPRODUCT(($B$2:$B$151=TRUE())*ISNUMBER(Fundamentals!$G$2:$G$151)*(Fundamentals!$G$2:$G$151&lt;Fundamentals!G77))/MAX(1,SUMPRODUCT(($B$2:$B$151=TRUE())*ISNUMBER(Fundamentals!$G$2:$G$151)))))))</f>
        <v>50</v>
      </c>
      <c r="G77" s="5" t="n">
        <f aca="false">AVERAGE(C77:F77)</f>
        <v>50</v>
      </c>
      <c r="H77" s="5" t="n">
        <f aca="false">MIN(100,MAX(0,IF(NOT(ISNUMBER(PriceMetrics!K77)),50,100*(SUMPRODUCT(($B$2:$B$151=TRUE())*ISNUMBER(PriceMetrics!$K$2:$K$151)*(PriceMetrics!$K$2:$K$151&lt;PriceMetrics!K77))/MAX(1,SUMPRODUCT(($B$2:$B$151=TRUE())*ISNUMBER(PriceMetrics!$K$2:$K$151)))))+IF(ISNUMBER(PriceMetrics!L77),10*PriceMetrics!L77,0)))</f>
        <v>50</v>
      </c>
      <c r="I77" s="5" t="n">
        <f aca="false">0.6*IF(NOT(ISNUMBER(PriceMetrics!P77)),50,100*(SUMPRODUCT(($B$2:$B$151=TRUE())*ISNUMBER(PriceMetrics!$P$2:$P$151)*(PriceMetrics!$P$2:$P$151&lt;PriceMetrics!P77))/MAX(1,SUMPRODUCT(($B$2:$B$151=TRUE())*ISNUMBER(PriceMetrics!$P$2:$P$151)))))+0.4*IF(NOT(ISNUMBER(PriceMetrics!H77)),50,IF(PriceMetrics!H77&gt;70,40,IF(PriceMetrics!H77&gt;=50,100,IF(PriceMetrics!H77&gt;=35,60,30))))</f>
        <v>50</v>
      </c>
      <c r="J77" s="5" t="n">
        <f aca="false">AVERAGE(IF(NOT(ISNUMBER(PriceMetrics!F77)),50,100*(1-(SUMPRODUCT(($B$2:$B$151=TRUE())*ISNUMBER(PriceMetrics!$F$2:$F$151)*(PriceMetrics!$F$2:$F$151&lt;PriceMetrics!F77))/MAX(1,SUMPRODUCT(($B$2:$B$151=TRUE())*ISNUMBER(PriceMetrics!$F$2:$F$151)))))),IF(NOT(ISNUMBER(PriceMetrics!G77)),50,100*(1-(SUMPRODUCT(($B$2:$B$151=TRUE())*ISNUMBER(PriceMetrics!$G$2:$G$151)*(ABS(PriceMetrics!$G$2:$G$151)&lt;ABS(PriceMetrics!G77)))/MAX(1,SUMPRODUCT(($B$2:$B$151=TRUE())*ISNUMBER(PriceMetrics!$G$2:$G$151)))))))</f>
        <v>50</v>
      </c>
      <c r="K77" s="5" t="n">
        <f aca="false">AVERAGE(H77:J77)</f>
        <v>50</v>
      </c>
      <c r="L77" s="8" t="n">
        <f aca="false">Macro!$B$26</f>
        <v>53.5</v>
      </c>
      <c r="M77" s="5" t="n">
        <f aca="false">Control!$B$3*100*G77/100+Control!$B$4*K77+Control!$B$5*L77</f>
        <v>50.7</v>
      </c>
      <c r="N77" s="3" t="n">
        <f aca="false">M77+ROW()/1000000</f>
        <v>50.700077</v>
      </c>
      <c r="O77" s="5" t="n">
        <f aca="false">M77-IF(AND(Tickers!D77="SMALLCAP100",Macro!$B$26&lt;40),Control!$B$11,0)</f>
        <v>50.7</v>
      </c>
      <c r="P77" s="3" t="str">
        <f aca="false">IF(B77=FALSE(),"-",IF(O77&gt;=Control!$B$7,"BUY",IF(O77&gt;=Control!$B$8,"ACCUMULATE",IF(O77&gt;=Control!$B$9,"HOLD","AVOID"))))</f>
        <v>-</v>
      </c>
      <c r="Q77" s="3" t="str">
        <f aca="false">IF(B77=FALSE(),"",IF(OR(O77&gt;=72,O77&lt;=32),"High",IF(OR(O77&gt;=62,O77&lt;=42),"Medium","Low")))</f>
        <v/>
      </c>
      <c r="R77" s="12" t="n">
        <f aca="false">IF(P77="BUY",Control!$B$12,IF(P77="ACCUMULATE",Control!$B$13,0))</f>
        <v>0</v>
      </c>
      <c r="S77" s="3" t="str">
        <f aca="false">IF(B77=FALSE(),"",IF(T77=C77,"Rich valuation",IF(T77=E77,"Weak growth",IF(T77=F77,"Balance-sheet leverage",IF(T77=I77,"Negative momentum","High volatility/drawdown")))))</f>
        <v/>
      </c>
      <c r="T77" s="3" t="n">
        <f aca="false">MIN(C77,E77,F77,I77,J77)</f>
        <v>50</v>
      </c>
      <c r="U77" s="3" t="n">
        <f aca="false">IF(B77=TRUE(),N77,-1000+ROW()/1000000)</f>
        <v>-999.999923</v>
      </c>
    </row>
    <row r="78" customFormat="false" ht="15" hidden="false" customHeight="false" outlineLevel="0" collapsed="false">
      <c r="A78" s="7" t="str">
        <f aca="false">Tickers!A78</f>
        <v>CAMS</v>
      </c>
      <c r="B78" s="19" t="b">
        <f aca="false">Tickers!F78</f>
        <v>0</v>
      </c>
      <c r="C78" s="5" t="n">
        <f aca="false">AVERAGE(IF(NOT(ISNUMBER(Fundamentals!C78)),50,IF(Fundamentals!C78&lt;=0,15,100*(1-(SUMPRODUCT(($B$2:$B$151=TRUE())*ISNUMBER(Fundamentals!$C$2:$C$151)*(Fundamentals!$C$2:$C$151&gt;0)*(Fundamentals!$C$2:$C$151&lt;Fundamentals!C78))/MAX(1,SUMPRODUCT(($B$2:$B$151=TRUE())*ISNUMBER(Fundamentals!$C$2:$C$151)*(Fundamentals!$C$2:$C$151&gt;0))))))),IF(NOT(ISNUMBER(Fundamentals!E78)),50,IF(Fundamentals!E78&lt;=0,15,100*(1-(SUMPRODUCT(($B$2:$B$151=TRUE())*ISNUMBER(Fundamentals!$E$2:$E$151)*(Fundamentals!$E$2:$E$151&gt;0)*(Fundamentals!$E$2:$E$151&lt;Fundamentals!E78))/MAX(1,SUMPRODUCT(($B$2:$B$151=TRUE())*ISNUMBER(Fundamentals!$E$2:$E$151)*(Fundamentals!$E$2:$E$151&gt;0))))))))</f>
        <v>50</v>
      </c>
      <c r="D78" s="5" t="n">
        <f aca="false">AVERAGE(IF(NOT(ISNUMBER(Fundamentals!F78)),50,100*(SUMPRODUCT(($B$2:$B$151=TRUE())*ISNUMBER(Fundamentals!$F$2:$F$151)*(Fundamentals!$F$2:$F$151&lt;Fundamentals!F78))/MAX(1,SUMPRODUCT(($B$2:$B$151=TRUE())*ISNUMBER(Fundamentals!$F$2:$F$151))))),IF(NOT(ISNUMBER(Fundamentals!J78)),50,100*(SUMPRODUCT(($B$2:$B$151=TRUE())*ISNUMBER(Fundamentals!$J$2:$J$151)*(Fundamentals!$J$2:$J$151&lt;Fundamentals!J78))/MAX(1,SUMPRODUCT(($B$2:$B$151=TRUE())*ISNUMBER(Fundamentals!$J$2:$J$151))))))</f>
        <v>50</v>
      </c>
      <c r="E78" s="5" t="n">
        <f aca="false">AVERAGE(IF(NOT(ISNUMBER(Fundamentals!H78)),50,100*(SUMPRODUCT(($B$2:$B$151=TRUE())*ISNUMBER(Fundamentals!$H$2:$H$151)*(Fundamentals!$H$2:$H$151&lt;Fundamentals!H78))/MAX(1,SUMPRODUCT(($B$2:$B$151=TRUE())*ISNUMBER(Fundamentals!$H$2:$H$151))))),IF(NOT(ISNUMBER(Fundamentals!I78)),50,100*(SUMPRODUCT(($B$2:$B$151=TRUE())*ISNUMBER(Fundamentals!$I$2:$I$151)*(Fundamentals!$I$2:$I$151&lt;Fundamentals!I78))/MAX(1,SUMPRODUCT(($B$2:$B$151=TRUE())*ISNUMBER(Fundamentals!$I$2:$I$151))))))</f>
        <v>50</v>
      </c>
      <c r="F78" s="5" t="n">
        <f aca="false">IF(Tickers!C78="Financial Services",50,IF(NOT(ISNUMBER(Fundamentals!G78)),50,100*(1-(SUMPRODUCT(($B$2:$B$151=TRUE())*ISNUMBER(Fundamentals!$G$2:$G$151)*(Fundamentals!$G$2:$G$151&lt;Fundamentals!G78))/MAX(1,SUMPRODUCT(($B$2:$B$151=TRUE())*ISNUMBER(Fundamentals!$G$2:$G$151)))))))</f>
        <v>50</v>
      </c>
      <c r="G78" s="5" t="n">
        <f aca="false">AVERAGE(C78:F78)</f>
        <v>50</v>
      </c>
      <c r="H78" s="5" t="n">
        <f aca="false">MIN(100,MAX(0,IF(NOT(ISNUMBER(PriceMetrics!K78)),50,100*(SUMPRODUCT(($B$2:$B$151=TRUE())*ISNUMBER(PriceMetrics!$K$2:$K$151)*(PriceMetrics!$K$2:$K$151&lt;PriceMetrics!K78))/MAX(1,SUMPRODUCT(($B$2:$B$151=TRUE())*ISNUMBER(PriceMetrics!$K$2:$K$151)))))+IF(ISNUMBER(PriceMetrics!L78),10*PriceMetrics!L78,0)))</f>
        <v>50</v>
      </c>
      <c r="I78" s="5" t="n">
        <f aca="false">0.6*IF(NOT(ISNUMBER(PriceMetrics!P78)),50,100*(SUMPRODUCT(($B$2:$B$151=TRUE())*ISNUMBER(PriceMetrics!$P$2:$P$151)*(PriceMetrics!$P$2:$P$151&lt;PriceMetrics!P78))/MAX(1,SUMPRODUCT(($B$2:$B$151=TRUE())*ISNUMBER(PriceMetrics!$P$2:$P$151)))))+0.4*IF(NOT(ISNUMBER(PriceMetrics!H78)),50,IF(PriceMetrics!H78&gt;70,40,IF(PriceMetrics!H78&gt;=50,100,IF(PriceMetrics!H78&gt;=35,60,30))))</f>
        <v>50</v>
      </c>
      <c r="J78" s="5" t="n">
        <f aca="false">AVERAGE(IF(NOT(ISNUMBER(PriceMetrics!F78)),50,100*(1-(SUMPRODUCT(($B$2:$B$151=TRUE())*ISNUMBER(PriceMetrics!$F$2:$F$151)*(PriceMetrics!$F$2:$F$151&lt;PriceMetrics!F78))/MAX(1,SUMPRODUCT(($B$2:$B$151=TRUE())*ISNUMBER(PriceMetrics!$F$2:$F$151)))))),IF(NOT(ISNUMBER(PriceMetrics!G78)),50,100*(1-(SUMPRODUCT(($B$2:$B$151=TRUE())*ISNUMBER(PriceMetrics!$G$2:$G$151)*(ABS(PriceMetrics!$G$2:$G$151)&lt;ABS(PriceMetrics!G78)))/MAX(1,SUMPRODUCT(($B$2:$B$151=TRUE())*ISNUMBER(PriceMetrics!$G$2:$G$151)))))))</f>
        <v>50</v>
      </c>
      <c r="K78" s="5" t="n">
        <f aca="false">AVERAGE(H78:J78)</f>
        <v>50</v>
      </c>
      <c r="L78" s="8" t="n">
        <f aca="false">Macro!$B$26</f>
        <v>53.5</v>
      </c>
      <c r="M78" s="5" t="n">
        <f aca="false">Control!$B$3*100*G78/100+Control!$B$4*K78+Control!$B$5*L78</f>
        <v>50.7</v>
      </c>
      <c r="N78" s="3" t="n">
        <f aca="false">M78+ROW()/1000000</f>
        <v>50.700078</v>
      </c>
      <c r="O78" s="5" t="n">
        <f aca="false">M78-IF(AND(Tickers!D78="SMALLCAP100",Macro!$B$26&lt;40),Control!$B$11,0)</f>
        <v>50.7</v>
      </c>
      <c r="P78" s="3" t="str">
        <f aca="false">IF(B78=FALSE(),"-",IF(O78&gt;=Control!$B$7,"BUY",IF(O78&gt;=Control!$B$8,"ACCUMULATE",IF(O78&gt;=Control!$B$9,"HOLD","AVOID"))))</f>
        <v>-</v>
      </c>
      <c r="Q78" s="3" t="str">
        <f aca="false">IF(B78=FALSE(),"",IF(OR(O78&gt;=72,O78&lt;=32),"High",IF(OR(O78&gt;=62,O78&lt;=42),"Medium","Low")))</f>
        <v/>
      </c>
      <c r="R78" s="12" t="n">
        <f aca="false">IF(P78="BUY",Control!$B$12,IF(P78="ACCUMULATE",Control!$B$13,0))</f>
        <v>0</v>
      </c>
      <c r="S78" s="3" t="str">
        <f aca="false">IF(B78=FALSE(),"",IF(T78=C78,"Rich valuation",IF(T78=E78,"Weak growth",IF(T78=F78,"Balance-sheet leverage",IF(T78=I78,"Negative momentum","High volatility/drawdown")))))</f>
        <v/>
      </c>
      <c r="T78" s="3" t="n">
        <f aca="false">MIN(C78,E78,F78,I78,J78)</f>
        <v>50</v>
      </c>
      <c r="U78" s="3" t="n">
        <f aca="false">IF(B78=TRUE(),N78,-1000+ROW()/1000000)</f>
        <v>-999.999922</v>
      </c>
    </row>
    <row r="79" customFormat="false" ht="15" hidden="false" customHeight="false" outlineLevel="0" collapsed="false">
      <c r="A79" s="7" t="str">
        <f aca="false">Tickers!A79</f>
        <v>CREDITACC</v>
      </c>
      <c r="B79" s="19" t="b">
        <f aca="false">Tickers!F79</f>
        <v>0</v>
      </c>
      <c r="C79" s="5" t="n">
        <f aca="false">AVERAGE(IF(NOT(ISNUMBER(Fundamentals!C79)),50,IF(Fundamentals!C79&lt;=0,15,100*(1-(SUMPRODUCT(($B$2:$B$151=TRUE())*ISNUMBER(Fundamentals!$C$2:$C$151)*(Fundamentals!$C$2:$C$151&gt;0)*(Fundamentals!$C$2:$C$151&lt;Fundamentals!C79))/MAX(1,SUMPRODUCT(($B$2:$B$151=TRUE())*ISNUMBER(Fundamentals!$C$2:$C$151)*(Fundamentals!$C$2:$C$151&gt;0))))))),IF(NOT(ISNUMBER(Fundamentals!E79)),50,IF(Fundamentals!E79&lt;=0,15,100*(1-(SUMPRODUCT(($B$2:$B$151=TRUE())*ISNUMBER(Fundamentals!$E$2:$E$151)*(Fundamentals!$E$2:$E$151&gt;0)*(Fundamentals!$E$2:$E$151&lt;Fundamentals!E79))/MAX(1,SUMPRODUCT(($B$2:$B$151=TRUE())*ISNUMBER(Fundamentals!$E$2:$E$151)*(Fundamentals!$E$2:$E$151&gt;0))))))))</f>
        <v>50</v>
      </c>
      <c r="D79" s="5" t="n">
        <f aca="false">AVERAGE(IF(NOT(ISNUMBER(Fundamentals!F79)),50,100*(SUMPRODUCT(($B$2:$B$151=TRUE())*ISNUMBER(Fundamentals!$F$2:$F$151)*(Fundamentals!$F$2:$F$151&lt;Fundamentals!F79))/MAX(1,SUMPRODUCT(($B$2:$B$151=TRUE())*ISNUMBER(Fundamentals!$F$2:$F$151))))),IF(NOT(ISNUMBER(Fundamentals!J79)),50,100*(SUMPRODUCT(($B$2:$B$151=TRUE())*ISNUMBER(Fundamentals!$J$2:$J$151)*(Fundamentals!$J$2:$J$151&lt;Fundamentals!J79))/MAX(1,SUMPRODUCT(($B$2:$B$151=TRUE())*ISNUMBER(Fundamentals!$J$2:$J$151))))))</f>
        <v>50</v>
      </c>
      <c r="E79" s="5" t="n">
        <f aca="false">AVERAGE(IF(NOT(ISNUMBER(Fundamentals!H79)),50,100*(SUMPRODUCT(($B$2:$B$151=TRUE())*ISNUMBER(Fundamentals!$H$2:$H$151)*(Fundamentals!$H$2:$H$151&lt;Fundamentals!H79))/MAX(1,SUMPRODUCT(($B$2:$B$151=TRUE())*ISNUMBER(Fundamentals!$H$2:$H$151))))),IF(NOT(ISNUMBER(Fundamentals!I79)),50,100*(SUMPRODUCT(($B$2:$B$151=TRUE())*ISNUMBER(Fundamentals!$I$2:$I$151)*(Fundamentals!$I$2:$I$151&lt;Fundamentals!I79))/MAX(1,SUMPRODUCT(($B$2:$B$151=TRUE())*ISNUMBER(Fundamentals!$I$2:$I$151))))))</f>
        <v>50</v>
      </c>
      <c r="F79" s="5" t="n">
        <f aca="false">IF(Tickers!C79="Financial Services",50,IF(NOT(ISNUMBER(Fundamentals!G79)),50,100*(1-(SUMPRODUCT(($B$2:$B$151=TRUE())*ISNUMBER(Fundamentals!$G$2:$G$151)*(Fundamentals!$G$2:$G$151&lt;Fundamentals!G79))/MAX(1,SUMPRODUCT(($B$2:$B$151=TRUE())*ISNUMBER(Fundamentals!$G$2:$G$151)))))))</f>
        <v>50</v>
      </c>
      <c r="G79" s="5" t="n">
        <f aca="false">AVERAGE(C79:F79)</f>
        <v>50</v>
      </c>
      <c r="H79" s="5" t="n">
        <f aca="false">MIN(100,MAX(0,IF(NOT(ISNUMBER(PriceMetrics!K79)),50,100*(SUMPRODUCT(($B$2:$B$151=TRUE())*ISNUMBER(PriceMetrics!$K$2:$K$151)*(PriceMetrics!$K$2:$K$151&lt;PriceMetrics!K79))/MAX(1,SUMPRODUCT(($B$2:$B$151=TRUE())*ISNUMBER(PriceMetrics!$K$2:$K$151)))))+IF(ISNUMBER(PriceMetrics!L79),10*PriceMetrics!L79,0)))</f>
        <v>50</v>
      </c>
      <c r="I79" s="5" t="n">
        <f aca="false">0.6*IF(NOT(ISNUMBER(PriceMetrics!P79)),50,100*(SUMPRODUCT(($B$2:$B$151=TRUE())*ISNUMBER(PriceMetrics!$P$2:$P$151)*(PriceMetrics!$P$2:$P$151&lt;PriceMetrics!P79))/MAX(1,SUMPRODUCT(($B$2:$B$151=TRUE())*ISNUMBER(PriceMetrics!$P$2:$P$151)))))+0.4*IF(NOT(ISNUMBER(PriceMetrics!H79)),50,IF(PriceMetrics!H79&gt;70,40,IF(PriceMetrics!H79&gt;=50,100,IF(PriceMetrics!H79&gt;=35,60,30))))</f>
        <v>50</v>
      </c>
      <c r="J79" s="5" t="n">
        <f aca="false">AVERAGE(IF(NOT(ISNUMBER(PriceMetrics!F79)),50,100*(1-(SUMPRODUCT(($B$2:$B$151=TRUE())*ISNUMBER(PriceMetrics!$F$2:$F$151)*(PriceMetrics!$F$2:$F$151&lt;PriceMetrics!F79))/MAX(1,SUMPRODUCT(($B$2:$B$151=TRUE())*ISNUMBER(PriceMetrics!$F$2:$F$151)))))),IF(NOT(ISNUMBER(PriceMetrics!G79)),50,100*(1-(SUMPRODUCT(($B$2:$B$151=TRUE())*ISNUMBER(PriceMetrics!$G$2:$G$151)*(ABS(PriceMetrics!$G$2:$G$151)&lt;ABS(PriceMetrics!G79)))/MAX(1,SUMPRODUCT(($B$2:$B$151=TRUE())*ISNUMBER(PriceMetrics!$G$2:$G$151)))))))</f>
        <v>50</v>
      </c>
      <c r="K79" s="5" t="n">
        <f aca="false">AVERAGE(H79:J79)</f>
        <v>50</v>
      </c>
      <c r="L79" s="8" t="n">
        <f aca="false">Macro!$B$26</f>
        <v>53.5</v>
      </c>
      <c r="M79" s="5" t="n">
        <f aca="false">Control!$B$3*100*G79/100+Control!$B$4*K79+Control!$B$5*L79</f>
        <v>50.7</v>
      </c>
      <c r="N79" s="3" t="n">
        <f aca="false">M79+ROW()/1000000</f>
        <v>50.700079</v>
      </c>
      <c r="O79" s="5" t="n">
        <f aca="false">M79-IF(AND(Tickers!D79="SMALLCAP100",Macro!$B$26&lt;40),Control!$B$11,0)</f>
        <v>50.7</v>
      </c>
      <c r="P79" s="3" t="str">
        <f aca="false">IF(B79=FALSE(),"-",IF(O79&gt;=Control!$B$7,"BUY",IF(O79&gt;=Control!$B$8,"ACCUMULATE",IF(O79&gt;=Control!$B$9,"HOLD","AVOID"))))</f>
        <v>-</v>
      </c>
      <c r="Q79" s="3" t="str">
        <f aca="false">IF(B79=FALSE(),"",IF(OR(O79&gt;=72,O79&lt;=32),"High",IF(OR(O79&gt;=62,O79&lt;=42),"Medium","Low")))</f>
        <v/>
      </c>
      <c r="R79" s="12" t="n">
        <f aca="false">IF(P79="BUY",Control!$B$12,IF(P79="ACCUMULATE",Control!$B$13,0))</f>
        <v>0</v>
      </c>
      <c r="S79" s="3" t="str">
        <f aca="false">IF(B79=FALSE(),"",IF(T79=C79,"Rich valuation",IF(T79=E79,"Weak growth",IF(T79=F79,"Balance-sheet leverage",IF(T79=I79,"Negative momentum","High volatility/drawdown")))))</f>
        <v/>
      </c>
      <c r="T79" s="3" t="n">
        <f aca="false">MIN(C79,E79,F79,I79,J79)</f>
        <v>50</v>
      </c>
      <c r="U79" s="3" t="n">
        <f aca="false">IF(B79=TRUE(),N79,-1000+ROW()/1000000)</f>
        <v>-999.999921</v>
      </c>
    </row>
    <row r="80" customFormat="false" ht="15" hidden="false" customHeight="false" outlineLevel="0" collapsed="false">
      <c r="A80" s="7" t="str">
        <f aca="false">Tickers!A80</f>
        <v>CROMPTON</v>
      </c>
      <c r="B80" s="19" t="b">
        <f aca="false">Tickers!F80</f>
        <v>0</v>
      </c>
      <c r="C80" s="5" t="n">
        <f aca="false">AVERAGE(IF(NOT(ISNUMBER(Fundamentals!C80)),50,IF(Fundamentals!C80&lt;=0,15,100*(1-(SUMPRODUCT(($B$2:$B$151=TRUE())*ISNUMBER(Fundamentals!$C$2:$C$151)*(Fundamentals!$C$2:$C$151&gt;0)*(Fundamentals!$C$2:$C$151&lt;Fundamentals!C80))/MAX(1,SUMPRODUCT(($B$2:$B$151=TRUE())*ISNUMBER(Fundamentals!$C$2:$C$151)*(Fundamentals!$C$2:$C$151&gt;0))))))),IF(NOT(ISNUMBER(Fundamentals!E80)),50,IF(Fundamentals!E80&lt;=0,15,100*(1-(SUMPRODUCT(($B$2:$B$151=TRUE())*ISNUMBER(Fundamentals!$E$2:$E$151)*(Fundamentals!$E$2:$E$151&gt;0)*(Fundamentals!$E$2:$E$151&lt;Fundamentals!E80))/MAX(1,SUMPRODUCT(($B$2:$B$151=TRUE())*ISNUMBER(Fundamentals!$E$2:$E$151)*(Fundamentals!$E$2:$E$151&gt;0))))))))</f>
        <v>50</v>
      </c>
      <c r="D80" s="5" t="n">
        <f aca="false">AVERAGE(IF(NOT(ISNUMBER(Fundamentals!F80)),50,100*(SUMPRODUCT(($B$2:$B$151=TRUE())*ISNUMBER(Fundamentals!$F$2:$F$151)*(Fundamentals!$F$2:$F$151&lt;Fundamentals!F80))/MAX(1,SUMPRODUCT(($B$2:$B$151=TRUE())*ISNUMBER(Fundamentals!$F$2:$F$151))))),IF(NOT(ISNUMBER(Fundamentals!J80)),50,100*(SUMPRODUCT(($B$2:$B$151=TRUE())*ISNUMBER(Fundamentals!$J$2:$J$151)*(Fundamentals!$J$2:$J$151&lt;Fundamentals!J80))/MAX(1,SUMPRODUCT(($B$2:$B$151=TRUE())*ISNUMBER(Fundamentals!$J$2:$J$151))))))</f>
        <v>50</v>
      </c>
      <c r="E80" s="5" t="n">
        <f aca="false">AVERAGE(IF(NOT(ISNUMBER(Fundamentals!H80)),50,100*(SUMPRODUCT(($B$2:$B$151=TRUE())*ISNUMBER(Fundamentals!$H$2:$H$151)*(Fundamentals!$H$2:$H$151&lt;Fundamentals!H80))/MAX(1,SUMPRODUCT(($B$2:$B$151=TRUE())*ISNUMBER(Fundamentals!$H$2:$H$151))))),IF(NOT(ISNUMBER(Fundamentals!I80)),50,100*(SUMPRODUCT(($B$2:$B$151=TRUE())*ISNUMBER(Fundamentals!$I$2:$I$151)*(Fundamentals!$I$2:$I$151&lt;Fundamentals!I80))/MAX(1,SUMPRODUCT(($B$2:$B$151=TRUE())*ISNUMBER(Fundamentals!$I$2:$I$151))))))</f>
        <v>50</v>
      </c>
      <c r="F80" s="5" t="n">
        <f aca="false">IF(Tickers!C80="Financial Services",50,IF(NOT(ISNUMBER(Fundamentals!G80)),50,100*(1-(SUMPRODUCT(($B$2:$B$151=TRUE())*ISNUMBER(Fundamentals!$G$2:$G$151)*(Fundamentals!$G$2:$G$151&lt;Fundamentals!G80))/MAX(1,SUMPRODUCT(($B$2:$B$151=TRUE())*ISNUMBER(Fundamentals!$G$2:$G$151)))))))</f>
        <v>50</v>
      </c>
      <c r="G80" s="5" t="n">
        <f aca="false">AVERAGE(C80:F80)</f>
        <v>50</v>
      </c>
      <c r="H80" s="5" t="n">
        <f aca="false">MIN(100,MAX(0,IF(NOT(ISNUMBER(PriceMetrics!K80)),50,100*(SUMPRODUCT(($B$2:$B$151=TRUE())*ISNUMBER(PriceMetrics!$K$2:$K$151)*(PriceMetrics!$K$2:$K$151&lt;PriceMetrics!K80))/MAX(1,SUMPRODUCT(($B$2:$B$151=TRUE())*ISNUMBER(PriceMetrics!$K$2:$K$151)))))+IF(ISNUMBER(PriceMetrics!L80),10*PriceMetrics!L80,0)))</f>
        <v>50</v>
      </c>
      <c r="I80" s="5" t="n">
        <f aca="false">0.6*IF(NOT(ISNUMBER(PriceMetrics!P80)),50,100*(SUMPRODUCT(($B$2:$B$151=TRUE())*ISNUMBER(PriceMetrics!$P$2:$P$151)*(PriceMetrics!$P$2:$P$151&lt;PriceMetrics!P80))/MAX(1,SUMPRODUCT(($B$2:$B$151=TRUE())*ISNUMBER(PriceMetrics!$P$2:$P$151)))))+0.4*IF(NOT(ISNUMBER(PriceMetrics!H80)),50,IF(PriceMetrics!H80&gt;70,40,IF(PriceMetrics!H80&gt;=50,100,IF(PriceMetrics!H80&gt;=35,60,30))))</f>
        <v>50</v>
      </c>
      <c r="J80" s="5" t="n">
        <f aca="false">AVERAGE(IF(NOT(ISNUMBER(PriceMetrics!F80)),50,100*(1-(SUMPRODUCT(($B$2:$B$151=TRUE())*ISNUMBER(PriceMetrics!$F$2:$F$151)*(PriceMetrics!$F$2:$F$151&lt;PriceMetrics!F80))/MAX(1,SUMPRODUCT(($B$2:$B$151=TRUE())*ISNUMBER(PriceMetrics!$F$2:$F$151)))))),IF(NOT(ISNUMBER(PriceMetrics!G80)),50,100*(1-(SUMPRODUCT(($B$2:$B$151=TRUE())*ISNUMBER(PriceMetrics!$G$2:$G$151)*(ABS(PriceMetrics!$G$2:$G$151)&lt;ABS(PriceMetrics!G80)))/MAX(1,SUMPRODUCT(($B$2:$B$151=TRUE())*ISNUMBER(PriceMetrics!$G$2:$G$151)))))))</f>
        <v>50</v>
      </c>
      <c r="K80" s="5" t="n">
        <f aca="false">AVERAGE(H80:J80)</f>
        <v>50</v>
      </c>
      <c r="L80" s="8" t="n">
        <f aca="false">Macro!$B$26</f>
        <v>53.5</v>
      </c>
      <c r="M80" s="5" t="n">
        <f aca="false">Control!$B$3*100*G80/100+Control!$B$4*K80+Control!$B$5*L80</f>
        <v>50.7</v>
      </c>
      <c r="N80" s="3" t="n">
        <f aca="false">M80+ROW()/1000000</f>
        <v>50.70008</v>
      </c>
      <c r="O80" s="5" t="n">
        <f aca="false">M80-IF(AND(Tickers!D80="SMALLCAP100",Macro!$B$26&lt;40),Control!$B$11,0)</f>
        <v>50.7</v>
      </c>
      <c r="P80" s="3" t="str">
        <f aca="false">IF(B80=FALSE(),"-",IF(O80&gt;=Control!$B$7,"BUY",IF(O80&gt;=Control!$B$8,"ACCUMULATE",IF(O80&gt;=Control!$B$9,"HOLD","AVOID"))))</f>
        <v>-</v>
      </c>
      <c r="Q80" s="3" t="str">
        <f aca="false">IF(B80=FALSE(),"",IF(OR(O80&gt;=72,O80&lt;=32),"High",IF(OR(O80&gt;=62,O80&lt;=42),"Medium","Low")))</f>
        <v/>
      </c>
      <c r="R80" s="12" t="n">
        <f aca="false">IF(P80="BUY",Control!$B$12,IF(P80="ACCUMULATE",Control!$B$13,0))</f>
        <v>0</v>
      </c>
      <c r="S80" s="3" t="str">
        <f aca="false">IF(B80=FALSE(),"",IF(T80=C80,"Rich valuation",IF(T80=E80,"Weak growth",IF(T80=F80,"Balance-sheet leverage",IF(T80=I80,"Negative momentum","High volatility/drawdown")))))</f>
        <v/>
      </c>
      <c r="T80" s="3" t="n">
        <f aca="false">MIN(C80,E80,F80,I80,J80)</f>
        <v>50</v>
      </c>
      <c r="U80" s="3" t="n">
        <f aca="false">IF(B80=TRUE(),N80,-1000+ROW()/1000000)</f>
        <v>-999.99992</v>
      </c>
    </row>
    <row r="81" customFormat="false" ht="15" hidden="false" customHeight="false" outlineLevel="0" collapsed="false">
      <c r="A81" s="7" t="str">
        <f aca="false">Tickers!A81</f>
        <v>DATAPATTNS</v>
      </c>
      <c r="B81" s="19" t="b">
        <f aca="false">Tickers!F81</f>
        <v>0</v>
      </c>
      <c r="C81" s="5" t="n">
        <f aca="false">AVERAGE(IF(NOT(ISNUMBER(Fundamentals!C81)),50,IF(Fundamentals!C81&lt;=0,15,100*(1-(SUMPRODUCT(($B$2:$B$151=TRUE())*ISNUMBER(Fundamentals!$C$2:$C$151)*(Fundamentals!$C$2:$C$151&gt;0)*(Fundamentals!$C$2:$C$151&lt;Fundamentals!C81))/MAX(1,SUMPRODUCT(($B$2:$B$151=TRUE())*ISNUMBER(Fundamentals!$C$2:$C$151)*(Fundamentals!$C$2:$C$151&gt;0))))))),IF(NOT(ISNUMBER(Fundamentals!E81)),50,IF(Fundamentals!E81&lt;=0,15,100*(1-(SUMPRODUCT(($B$2:$B$151=TRUE())*ISNUMBER(Fundamentals!$E$2:$E$151)*(Fundamentals!$E$2:$E$151&gt;0)*(Fundamentals!$E$2:$E$151&lt;Fundamentals!E81))/MAX(1,SUMPRODUCT(($B$2:$B$151=TRUE())*ISNUMBER(Fundamentals!$E$2:$E$151)*(Fundamentals!$E$2:$E$151&gt;0))))))))</f>
        <v>50</v>
      </c>
      <c r="D81" s="5" t="n">
        <f aca="false">AVERAGE(IF(NOT(ISNUMBER(Fundamentals!F81)),50,100*(SUMPRODUCT(($B$2:$B$151=TRUE())*ISNUMBER(Fundamentals!$F$2:$F$151)*(Fundamentals!$F$2:$F$151&lt;Fundamentals!F81))/MAX(1,SUMPRODUCT(($B$2:$B$151=TRUE())*ISNUMBER(Fundamentals!$F$2:$F$151))))),IF(NOT(ISNUMBER(Fundamentals!J81)),50,100*(SUMPRODUCT(($B$2:$B$151=TRUE())*ISNUMBER(Fundamentals!$J$2:$J$151)*(Fundamentals!$J$2:$J$151&lt;Fundamentals!J81))/MAX(1,SUMPRODUCT(($B$2:$B$151=TRUE())*ISNUMBER(Fundamentals!$J$2:$J$151))))))</f>
        <v>50</v>
      </c>
      <c r="E81" s="5" t="n">
        <f aca="false">AVERAGE(IF(NOT(ISNUMBER(Fundamentals!H81)),50,100*(SUMPRODUCT(($B$2:$B$151=TRUE())*ISNUMBER(Fundamentals!$H$2:$H$151)*(Fundamentals!$H$2:$H$151&lt;Fundamentals!H81))/MAX(1,SUMPRODUCT(($B$2:$B$151=TRUE())*ISNUMBER(Fundamentals!$H$2:$H$151))))),IF(NOT(ISNUMBER(Fundamentals!I81)),50,100*(SUMPRODUCT(($B$2:$B$151=TRUE())*ISNUMBER(Fundamentals!$I$2:$I$151)*(Fundamentals!$I$2:$I$151&lt;Fundamentals!I81))/MAX(1,SUMPRODUCT(($B$2:$B$151=TRUE())*ISNUMBER(Fundamentals!$I$2:$I$151))))))</f>
        <v>50</v>
      </c>
      <c r="F81" s="5" t="n">
        <f aca="false">IF(Tickers!C81="Financial Services",50,IF(NOT(ISNUMBER(Fundamentals!G81)),50,100*(1-(SUMPRODUCT(($B$2:$B$151=TRUE())*ISNUMBER(Fundamentals!$G$2:$G$151)*(Fundamentals!$G$2:$G$151&lt;Fundamentals!G81))/MAX(1,SUMPRODUCT(($B$2:$B$151=TRUE())*ISNUMBER(Fundamentals!$G$2:$G$151)))))))</f>
        <v>50</v>
      </c>
      <c r="G81" s="5" t="n">
        <f aca="false">AVERAGE(C81:F81)</f>
        <v>50</v>
      </c>
      <c r="H81" s="5" t="n">
        <f aca="false">MIN(100,MAX(0,IF(NOT(ISNUMBER(PriceMetrics!K81)),50,100*(SUMPRODUCT(($B$2:$B$151=TRUE())*ISNUMBER(PriceMetrics!$K$2:$K$151)*(PriceMetrics!$K$2:$K$151&lt;PriceMetrics!K81))/MAX(1,SUMPRODUCT(($B$2:$B$151=TRUE())*ISNUMBER(PriceMetrics!$K$2:$K$151)))))+IF(ISNUMBER(PriceMetrics!L81),10*PriceMetrics!L81,0)))</f>
        <v>50</v>
      </c>
      <c r="I81" s="5" t="n">
        <f aca="false">0.6*IF(NOT(ISNUMBER(PriceMetrics!P81)),50,100*(SUMPRODUCT(($B$2:$B$151=TRUE())*ISNUMBER(PriceMetrics!$P$2:$P$151)*(PriceMetrics!$P$2:$P$151&lt;PriceMetrics!P81))/MAX(1,SUMPRODUCT(($B$2:$B$151=TRUE())*ISNUMBER(PriceMetrics!$P$2:$P$151)))))+0.4*IF(NOT(ISNUMBER(PriceMetrics!H81)),50,IF(PriceMetrics!H81&gt;70,40,IF(PriceMetrics!H81&gt;=50,100,IF(PriceMetrics!H81&gt;=35,60,30))))</f>
        <v>50</v>
      </c>
      <c r="J81" s="5" t="n">
        <f aca="false">AVERAGE(IF(NOT(ISNUMBER(PriceMetrics!F81)),50,100*(1-(SUMPRODUCT(($B$2:$B$151=TRUE())*ISNUMBER(PriceMetrics!$F$2:$F$151)*(PriceMetrics!$F$2:$F$151&lt;PriceMetrics!F81))/MAX(1,SUMPRODUCT(($B$2:$B$151=TRUE())*ISNUMBER(PriceMetrics!$F$2:$F$151)))))),IF(NOT(ISNUMBER(PriceMetrics!G81)),50,100*(1-(SUMPRODUCT(($B$2:$B$151=TRUE())*ISNUMBER(PriceMetrics!$G$2:$G$151)*(ABS(PriceMetrics!$G$2:$G$151)&lt;ABS(PriceMetrics!G81)))/MAX(1,SUMPRODUCT(($B$2:$B$151=TRUE())*ISNUMBER(PriceMetrics!$G$2:$G$151)))))))</f>
        <v>50</v>
      </c>
      <c r="K81" s="5" t="n">
        <f aca="false">AVERAGE(H81:J81)</f>
        <v>50</v>
      </c>
      <c r="L81" s="8" t="n">
        <f aca="false">Macro!$B$26</f>
        <v>53.5</v>
      </c>
      <c r="M81" s="5" t="n">
        <f aca="false">Control!$B$3*100*G81/100+Control!$B$4*K81+Control!$B$5*L81</f>
        <v>50.7</v>
      </c>
      <c r="N81" s="3" t="n">
        <f aca="false">M81+ROW()/1000000</f>
        <v>50.700081</v>
      </c>
      <c r="O81" s="5" t="n">
        <f aca="false">M81-IF(AND(Tickers!D81="SMALLCAP100",Macro!$B$26&lt;40),Control!$B$11,0)</f>
        <v>50.7</v>
      </c>
      <c r="P81" s="3" t="str">
        <f aca="false">IF(B81=FALSE(),"-",IF(O81&gt;=Control!$B$7,"BUY",IF(O81&gt;=Control!$B$8,"ACCUMULATE",IF(O81&gt;=Control!$B$9,"HOLD","AVOID"))))</f>
        <v>-</v>
      </c>
      <c r="Q81" s="3" t="str">
        <f aca="false">IF(B81=FALSE(),"",IF(OR(O81&gt;=72,O81&lt;=32),"High",IF(OR(O81&gt;=62,O81&lt;=42),"Medium","Low")))</f>
        <v/>
      </c>
      <c r="R81" s="12" t="n">
        <f aca="false">IF(P81="BUY",Control!$B$12,IF(P81="ACCUMULATE",Control!$B$13,0))</f>
        <v>0</v>
      </c>
      <c r="S81" s="3" t="str">
        <f aca="false">IF(B81=FALSE(),"",IF(T81=C81,"Rich valuation",IF(T81=E81,"Weak growth",IF(T81=F81,"Balance-sheet leverage",IF(T81=I81,"Negative momentum","High volatility/drawdown")))))</f>
        <v/>
      </c>
      <c r="T81" s="3" t="n">
        <f aca="false">MIN(C81,E81,F81,I81,J81)</f>
        <v>50</v>
      </c>
      <c r="U81" s="3" t="n">
        <f aca="false">IF(B81=TRUE(),N81,-1000+ROW()/1000000)</f>
        <v>-999.999919</v>
      </c>
    </row>
    <row r="82" customFormat="false" ht="15" hidden="false" customHeight="false" outlineLevel="0" collapsed="false">
      <c r="A82" s="7" t="str">
        <f aca="false">Tickers!A82</f>
        <v>DEEPAKFERT</v>
      </c>
      <c r="B82" s="19" t="b">
        <f aca="false">Tickers!F82</f>
        <v>0</v>
      </c>
      <c r="C82" s="5" t="n">
        <f aca="false">AVERAGE(IF(NOT(ISNUMBER(Fundamentals!C82)),50,IF(Fundamentals!C82&lt;=0,15,100*(1-(SUMPRODUCT(($B$2:$B$151=TRUE())*ISNUMBER(Fundamentals!$C$2:$C$151)*(Fundamentals!$C$2:$C$151&gt;0)*(Fundamentals!$C$2:$C$151&lt;Fundamentals!C82))/MAX(1,SUMPRODUCT(($B$2:$B$151=TRUE())*ISNUMBER(Fundamentals!$C$2:$C$151)*(Fundamentals!$C$2:$C$151&gt;0))))))),IF(NOT(ISNUMBER(Fundamentals!E82)),50,IF(Fundamentals!E82&lt;=0,15,100*(1-(SUMPRODUCT(($B$2:$B$151=TRUE())*ISNUMBER(Fundamentals!$E$2:$E$151)*(Fundamentals!$E$2:$E$151&gt;0)*(Fundamentals!$E$2:$E$151&lt;Fundamentals!E82))/MAX(1,SUMPRODUCT(($B$2:$B$151=TRUE())*ISNUMBER(Fundamentals!$E$2:$E$151)*(Fundamentals!$E$2:$E$151&gt;0))))))))</f>
        <v>50</v>
      </c>
      <c r="D82" s="5" t="n">
        <f aca="false">AVERAGE(IF(NOT(ISNUMBER(Fundamentals!F82)),50,100*(SUMPRODUCT(($B$2:$B$151=TRUE())*ISNUMBER(Fundamentals!$F$2:$F$151)*(Fundamentals!$F$2:$F$151&lt;Fundamentals!F82))/MAX(1,SUMPRODUCT(($B$2:$B$151=TRUE())*ISNUMBER(Fundamentals!$F$2:$F$151))))),IF(NOT(ISNUMBER(Fundamentals!J82)),50,100*(SUMPRODUCT(($B$2:$B$151=TRUE())*ISNUMBER(Fundamentals!$J$2:$J$151)*(Fundamentals!$J$2:$J$151&lt;Fundamentals!J82))/MAX(1,SUMPRODUCT(($B$2:$B$151=TRUE())*ISNUMBER(Fundamentals!$J$2:$J$151))))))</f>
        <v>50</v>
      </c>
      <c r="E82" s="5" t="n">
        <f aca="false">AVERAGE(IF(NOT(ISNUMBER(Fundamentals!H82)),50,100*(SUMPRODUCT(($B$2:$B$151=TRUE())*ISNUMBER(Fundamentals!$H$2:$H$151)*(Fundamentals!$H$2:$H$151&lt;Fundamentals!H82))/MAX(1,SUMPRODUCT(($B$2:$B$151=TRUE())*ISNUMBER(Fundamentals!$H$2:$H$151))))),IF(NOT(ISNUMBER(Fundamentals!I82)),50,100*(SUMPRODUCT(($B$2:$B$151=TRUE())*ISNUMBER(Fundamentals!$I$2:$I$151)*(Fundamentals!$I$2:$I$151&lt;Fundamentals!I82))/MAX(1,SUMPRODUCT(($B$2:$B$151=TRUE())*ISNUMBER(Fundamentals!$I$2:$I$151))))))</f>
        <v>50</v>
      </c>
      <c r="F82" s="5" t="n">
        <f aca="false">IF(Tickers!C82="Financial Services",50,IF(NOT(ISNUMBER(Fundamentals!G82)),50,100*(1-(SUMPRODUCT(($B$2:$B$151=TRUE())*ISNUMBER(Fundamentals!$G$2:$G$151)*(Fundamentals!$G$2:$G$151&lt;Fundamentals!G82))/MAX(1,SUMPRODUCT(($B$2:$B$151=TRUE())*ISNUMBER(Fundamentals!$G$2:$G$151)))))))</f>
        <v>50</v>
      </c>
      <c r="G82" s="5" t="n">
        <f aca="false">AVERAGE(C82:F82)</f>
        <v>50</v>
      </c>
      <c r="H82" s="5" t="n">
        <f aca="false">MIN(100,MAX(0,IF(NOT(ISNUMBER(PriceMetrics!K82)),50,100*(SUMPRODUCT(($B$2:$B$151=TRUE())*ISNUMBER(PriceMetrics!$K$2:$K$151)*(PriceMetrics!$K$2:$K$151&lt;PriceMetrics!K82))/MAX(1,SUMPRODUCT(($B$2:$B$151=TRUE())*ISNUMBER(PriceMetrics!$K$2:$K$151)))))+IF(ISNUMBER(PriceMetrics!L82),10*PriceMetrics!L82,0)))</f>
        <v>50</v>
      </c>
      <c r="I82" s="5" t="n">
        <f aca="false">0.6*IF(NOT(ISNUMBER(PriceMetrics!P82)),50,100*(SUMPRODUCT(($B$2:$B$151=TRUE())*ISNUMBER(PriceMetrics!$P$2:$P$151)*(PriceMetrics!$P$2:$P$151&lt;PriceMetrics!P82))/MAX(1,SUMPRODUCT(($B$2:$B$151=TRUE())*ISNUMBER(PriceMetrics!$P$2:$P$151)))))+0.4*IF(NOT(ISNUMBER(PriceMetrics!H82)),50,IF(PriceMetrics!H82&gt;70,40,IF(PriceMetrics!H82&gt;=50,100,IF(PriceMetrics!H82&gt;=35,60,30))))</f>
        <v>50</v>
      </c>
      <c r="J82" s="5" t="n">
        <f aca="false">AVERAGE(IF(NOT(ISNUMBER(PriceMetrics!F82)),50,100*(1-(SUMPRODUCT(($B$2:$B$151=TRUE())*ISNUMBER(PriceMetrics!$F$2:$F$151)*(PriceMetrics!$F$2:$F$151&lt;PriceMetrics!F82))/MAX(1,SUMPRODUCT(($B$2:$B$151=TRUE())*ISNUMBER(PriceMetrics!$F$2:$F$151)))))),IF(NOT(ISNUMBER(PriceMetrics!G82)),50,100*(1-(SUMPRODUCT(($B$2:$B$151=TRUE())*ISNUMBER(PriceMetrics!$G$2:$G$151)*(ABS(PriceMetrics!$G$2:$G$151)&lt;ABS(PriceMetrics!G82)))/MAX(1,SUMPRODUCT(($B$2:$B$151=TRUE())*ISNUMBER(PriceMetrics!$G$2:$G$151)))))))</f>
        <v>50</v>
      </c>
      <c r="K82" s="5" t="n">
        <f aca="false">AVERAGE(H82:J82)</f>
        <v>50</v>
      </c>
      <c r="L82" s="8" t="n">
        <f aca="false">Macro!$B$26</f>
        <v>53.5</v>
      </c>
      <c r="M82" s="5" t="n">
        <f aca="false">Control!$B$3*100*G82/100+Control!$B$4*K82+Control!$B$5*L82</f>
        <v>50.7</v>
      </c>
      <c r="N82" s="3" t="n">
        <f aca="false">M82+ROW()/1000000</f>
        <v>50.700082</v>
      </c>
      <c r="O82" s="5" t="n">
        <f aca="false">M82-IF(AND(Tickers!D82="SMALLCAP100",Macro!$B$26&lt;40),Control!$B$11,0)</f>
        <v>50.7</v>
      </c>
      <c r="P82" s="3" t="str">
        <f aca="false">IF(B82=FALSE(),"-",IF(O82&gt;=Control!$B$7,"BUY",IF(O82&gt;=Control!$B$8,"ACCUMULATE",IF(O82&gt;=Control!$B$9,"HOLD","AVOID"))))</f>
        <v>-</v>
      </c>
      <c r="Q82" s="3" t="str">
        <f aca="false">IF(B82=FALSE(),"",IF(OR(O82&gt;=72,O82&lt;=32),"High",IF(OR(O82&gt;=62,O82&lt;=42),"Medium","Low")))</f>
        <v/>
      </c>
      <c r="R82" s="12" t="n">
        <f aca="false">IF(P82="BUY",Control!$B$12,IF(P82="ACCUMULATE",Control!$B$13,0))</f>
        <v>0</v>
      </c>
      <c r="S82" s="3" t="str">
        <f aca="false">IF(B82=FALSE(),"",IF(T82=C82,"Rich valuation",IF(T82=E82,"Weak growth",IF(T82=F82,"Balance-sheet leverage",IF(T82=I82,"Negative momentum","High volatility/drawdown")))))</f>
        <v/>
      </c>
      <c r="T82" s="3" t="n">
        <f aca="false">MIN(C82,E82,F82,I82,J82)</f>
        <v>50</v>
      </c>
      <c r="U82" s="3" t="n">
        <f aca="false">IF(B82=TRUE(),N82,-1000+ROW()/1000000)</f>
        <v>-999.999918</v>
      </c>
    </row>
    <row r="83" customFormat="false" ht="15" hidden="false" customHeight="false" outlineLevel="0" collapsed="false">
      <c r="A83" s="7" t="str">
        <f aca="false">Tickers!A83</f>
        <v>DELHIVERY</v>
      </c>
      <c r="B83" s="19" t="b">
        <f aca="false">Tickers!F83</f>
        <v>0</v>
      </c>
      <c r="C83" s="5" t="n">
        <f aca="false">AVERAGE(IF(NOT(ISNUMBER(Fundamentals!C83)),50,IF(Fundamentals!C83&lt;=0,15,100*(1-(SUMPRODUCT(($B$2:$B$151=TRUE())*ISNUMBER(Fundamentals!$C$2:$C$151)*(Fundamentals!$C$2:$C$151&gt;0)*(Fundamentals!$C$2:$C$151&lt;Fundamentals!C83))/MAX(1,SUMPRODUCT(($B$2:$B$151=TRUE())*ISNUMBER(Fundamentals!$C$2:$C$151)*(Fundamentals!$C$2:$C$151&gt;0))))))),IF(NOT(ISNUMBER(Fundamentals!E83)),50,IF(Fundamentals!E83&lt;=0,15,100*(1-(SUMPRODUCT(($B$2:$B$151=TRUE())*ISNUMBER(Fundamentals!$E$2:$E$151)*(Fundamentals!$E$2:$E$151&gt;0)*(Fundamentals!$E$2:$E$151&lt;Fundamentals!E83))/MAX(1,SUMPRODUCT(($B$2:$B$151=TRUE())*ISNUMBER(Fundamentals!$E$2:$E$151)*(Fundamentals!$E$2:$E$151&gt;0))))))))</f>
        <v>50</v>
      </c>
      <c r="D83" s="5" t="n">
        <f aca="false">AVERAGE(IF(NOT(ISNUMBER(Fundamentals!F83)),50,100*(SUMPRODUCT(($B$2:$B$151=TRUE())*ISNUMBER(Fundamentals!$F$2:$F$151)*(Fundamentals!$F$2:$F$151&lt;Fundamentals!F83))/MAX(1,SUMPRODUCT(($B$2:$B$151=TRUE())*ISNUMBER(Fundamentals!$F$2:$F$151))))),IF(NOT(ISNUMBER(Fundamentals!J83)),50,100*(SUMPRODUCT(($B$2:$B$151=TRUE())*ISNUMBER(Fundamentals!$J$2:$J$151)*(Fundamentals!$J$2:$J$151&lt;Fundamentals!J83))/MAX(1,SUMPRODUCT(($B$2:$B$151=TRUE())*ISNUMBER(Fundamentals!$J$2:$J$151))))))</f>
        <v>50</v>
      </c>
      <c r="E83" s="5" t="n">
        <f aca="false">AVERAGE(IF(NOT(ISNUMBER(Fundamentals!H83)),50,100*(SUMPRODUCT(($B$2:$B$151=TRUE())*ISNUMBER(Fundamentals!$H$2:$H$151)*(Fundamentals!$H$2:$H$151&lt;Fundamentals!H83))/MAX(1,SUMPRODUCT(($B$2:$B$151=TRUE())*ISNUMBER(Fundamentals!$H$2:$H$151))))),IF(NOT(ISNUMBER(Fundamentals!I83)),50,100*(SUMPRODUCT(($B$2:$B$151=TRUE())*ISNUMBER(Fundamentals!$I$2:$I$151)*(Fundamentals!$I$2:$I$151&lt;Fundamentals!I83))/MAX(1,SUMPRODUCT(($B$2:$B$151=TRUE())*ISNUMBER(Fundamentals!$I$2:$I$151))))))</f>
        <v>50</v>
      </c>
      <c r="F83" s="5" t="n">
        <f aca="false">IF(Tickers!C83="Financial Services",50,IF(NOT(ISNUMBER(Fundamentals!G83)),50,100*(1-(SUMPRODUCT(($B$2:$B$151=TRUE())*ISNUMBER(Fundamentals!$G$2:$G$151)*(Fundamentals!$G$2:$G$151&lt;Fundamentals!G83))/MAX(1,SUMPRODUCT(($B$2:$B$151=TRUE())*ISNUMBER(Fundamentals!$G$2:$G$151)))))))</f>
        <v>50</v>
      </c>
      <c r="G83" s="5" t="n">
        <f aca="false">AVERAGE(C83:F83)</f>
        <v>50</v>
      </c>
      <c r="H83" s="5" t="n">
        <f aca="false">MIN(100,MAX(0,IF(NOT(ISNUMBER(PriceMetrics!K83)),50,100*(SUMPRODUCT(($B$2:$B$151=TRUE())*ISNUMBER(PriceMetrics!$K$2:$K$151)*(PriceMetrics!$K$2:$K$151&lt;PriceMetrics!K83))/MAX(1,SUMPRODUCT(($B$2:$B$151=TRUE())*ISNUMBER(PriceMetrics!$K$2:$K$151)))))+IF(ISNUMBER(PriceMetrics!L83),10*PriceMetrics!L83,0)))</f>
        <v>50</v>
      </c>
      <c r="I83" s="5" t="n">
        <f aca="false">0.6*IF(NOT(ISNUMBER(PriceMetrics!P83)),50,100*(SUMPRODUCT(($B$2:$B$151=TRUE())*ISNUMBER(PriceMetrics!$P$2:$P$151)*(PriceMetrics!$P$2:$P$151&lt;PriceMetrics!P83))/MAX(1,SUMPRODUCT(($B$2:$B$151=TRUE())*ISNUMBER(PriceMetrics!$P$2:$P$151)))))+0.4*IF(NOT(ISNUMBER(PriceMetrics!H83)),50,IF(PriceMetrics!H83&gt;70,40,IF(PriceMetrics!H83&gt;=50,100,IF(PriceMetrics!H83&gt;=35,60,30))))</f>
        <v>50</v>
      </c>
      <c r="J83" s="5" t="n">
        <f aca="false">AVERAGE(IF(NOT(ISNUMBER(PriceMetrics!F83)),50,100*(1-(SUMPRODUCT(($B$2:$B$151=TRUE())*ISNUMBER(PriceMetrics!$F$2:$F$151)*(PriceMetrics!$F$2:$F$151&lt;PriceMetrics!F83))/MAX(1,SUMPRODUCT(($B$2:$B$151=TRUE())*ISNUMBER(PriceMetrics!$F$2:$F$151)))))),IF(NOT(ISNUMBER(PriceMetrics!G83)),50,100*(1-(SUMPRODUCT(($B$2:$B$151=TRUE())*ISNUMBER(PriceMetrics!$G$2:$G$151)*(ABS(PriceMetrics!$G$2:$G$151)&lt;ABS(PriceMetrics!G83)))/MAX(1,SUMPRODUCT(($B$2:$B$151=TRUE())*ISNUMBER(PriceMetrics!$G$2:$G$151)))))))</f>
        <v>50</v>
      </c>
      <c r="K83" s="5" t="n">
        <f aca="false">AVERAGE(H83:J83)</f>
        <v>50</v>
      </c>
      <c r="L83" s="8" t="n">
        <f aca="false">Macro!$B$26</f>
        <v>53.5</v>
      </c>
      <c r="M83" s="5" t="n">
        <f aca="false">Control!$B$3*100*G83/100+Control!$B$4*K83+Control!$B$5*L83</f>
        <v>50.7</v>
      </c>
      <c r="N83" s="3" t="n">
        <f aca="false">M83+ROW()/1000000</f>
        <v>50.700083</v>
      </c>
      <c r="O83" s="5" t="n">
        <f aca="false">M83-IF(AND(Tickers!D83="SMALLCAP100",Macro!$B$26&lt;40),Control!$B$11,0)</f>
        <v>50.7</v>
      </c>
      <c r="P83" s="3" t="str">
        <f aca="false">IF(B83=FALSE(),"-",IF(O83&gt;=Control!$B$7,"BUY",IF(O83&gt;=Control!$B$8,"ACCUMULATE",IF(O83&gt;=Control!$B$9,"HOLD","AVOID"))))</f>
        <v>-</v>
      </c>
      <c r="Q83" s="3" t="str">
        <f aca="false">IF(B83=FALSE(),"",IF(OR(O83&gt;=72,O83&lt;=32),"High",IF(OR(O83&gt;=62,O83&lt;=42),"Medium","Low")))</f>
        <v/>
      </c>
      <c r="R83" s="12" t="n">
        <f aca="false">IF(P83="BUY",Control!$B$12,IF(P83="ACCUMULATE",Control!$B$13,0))</f>
        <v>0</v>
      </c>
      <c r="S83" s="3" t="str">
        <f aca="false">IF(B83=FALSE(),"",IF(T83=C83,"Rich valuation",IF(T83=E83,"Weak growth",IF(T83=F83,"Balance-sheet leverage",IF(T83=I83,"Negative momentum","High volatility/drawdown")))))</f>
        <v/>
      </c>
      <c r="T83" s="3" t="n">
        <f aca="false">MIN(C83,E83,F83,I83,J83)</f>
        <v>50</v>
      </c>
      <c r="U83" s="3" t="n">
        <f aca="false">IF(B83=TRUE(),N83,-1000+ROW()/1000000)</f>
        <v>-999.999917</v>
      </c>
    </row>
    <row r="84" customFormat="false" ht="15" hidden="false" customHeight="false" outlineLevel="0" collapsed="false">
      <c r="A84" s="7" t="str">
        <f aca="false">Tickers!A84</f>
        <v>DEVYANI</v>
      </c>
      <c r="B84" s="19" t="b">
        <f aca="false">Tickers!F84</f>
        <v>0</v>
      </c>
      <c r="C84" s="5" t="n">
        <f aca="false">AVERAGE(IF(NOT(ISNUMBER(Fundamentals!C84)),50,IF(Fundamentals!C84&lt;=0,15,100*(1-(SUMPRODUCT(($B$2:$B$151=TRUE())*ISNUMBER(Fundamentals!$C$2:$C$151)*(Fundamentals!$C$2:$C$151&gt;0)*(Fundamentals!$C$2:$C$151&lt;Fundamentals!C84))/MAX(1,SUMPRODUCT(($B$2:$B$151=TRUE())*ISNUMBER(Fundamentals!$C$2:$C$151)*(Fundamentals!$C$2:$C$151&gt;0))))))),IF(NOT(ISNUMBER(Fundamentals!E84)),50,IF(Fundamentals!E84&lt;=0,15,100*(1-(SUMPRODUCT(($B$2:$B$151=TRUE())*ISNUMBER(Fundamentals!$E$2:$E$151)*(Fundamentals!$E$2:$E$151&gt;0)*(Fundamentals!$E$2:$E$151&lt;Fundamentals!E84))/MAX(1,SUMPRODUCT(($B$2:$B$151=TRUE())*ISNUMBER(Fundamentals!$E$2:$E$151)*(Fundamentals!$E$2:$E$151&gt;0))))))))</f>
        <v>50</v>
      </c>
      <c r="D84" s="5" t="n">
        <f aca="false">AVERAGE(IF(NOT(ISNUMBER(Fundamentals!F84)),50,100*(SUMPRODUCT(($B$2:$B$151=TRUE())*ISNUMBER(Fundamentals!$F$2:$F$151)*(Fundamentals!$F$2:$F$151&lt;Fundamentals!F84))/MAX(1,SUMPRODUCT(($B$2:$B$151=TRUE())*ISNUMBER(Fundamentals!$F$2:$F$151))))),IF(NOT(ISNUMBER(Fundamentals!J84)),50,100*(SUMPRODUCT(($B$2:$B$151=TRUE())*ISNUMBER(Fundamentals!$J$2:$J$151)*(Fundamentals!$J$2:$J$151&lt;Fundamentals!J84))/MAX(1,SUMPRODUCT(($B$2:$B$151=TRUE())*ISNUMBER(Fundamentals!$J$2:$J$151))))))</f>
        <v>50</v>
      </c>
      <c r="E84" s="5" t="n">
        <f aca="false">AVERAGE(IF(NOT(ISNUMBER(Fundamentals!H84)),50,100*(SUMPRODUCT(($B$2:$B$151=TRUE())*ISNUMBER(Fundamentals!$H$2:$H$151)*(Fundamentals!$H$2:$H$151&lt;Fundamentals!H84))/MAX(1,SUMPRODUCT(($B$2:$B$151=TRUE())*ISNUMBER(Fundamentals!$H$2:$H$151))))),IF(NOT(ISNUMBER(Fundamentals!I84)),50,100*(SUMPRODUCT(($B$2:$B$151=TRUE())*ISNUMBER(Fundamentals!$I$2:$I$151)*(Fundamentals!$I$2:$I$151&lt;Fundamentals!I84))/MAX(1,SUMPRODUCT(($B$2:$B$151=TRUE())*ISNUMBER(Fundamentals!$I$2:$I$151))))))</f>
        <v>50</v>
      </c>
      <c r="F84" s="5" t="n">
        <f aca="false">IF(Tickers!C84="Financial Services",50,IF(NOT(ISNUMBER(Fundamentals!G84)),50,100*(1-(SUMPRODUCT(($B$2:$B$151=TRUE())*ISNUMBER(Fundamentals!$G$2:$G$151)*(Fundamentals!$G$2:$G$151&lt;Fundamentals!G84))/MAX(1,SUMPRODUCT(($B$2:$B$151=TRUE())*ISNUMBER(Fundamentals!$G$2:$G$151)))))))</f>
        <v>50</v>
      </c>
      <c r="G84" s="5" t="n">
        <f aca="false">AVERAGE(C84:F84)</f>
        <v>50</v>
      </c>
      <c r="H84" s="5" t="n">
        <f aca="false">MIN(100,MAX(0,IF(NOT(ISNUMBER(PriceMetrics!K84)),50,100*(SUMPRODUCT(($B$2:$B$151=TRUE())*ISNUMBER(PriceMetrics!$K$2:$K$151)*(PriceMetrics!$K$2:$K$151&lt;PriceMetrics!K84))/MAX(1,SUMPRODUCT(($B$2:$B$151=TRUE())*ISNUMBER(PriceMetrics!$K$2:$K$151)))))+IF(ISNUMBER(PriceMetrics!L84),10*PriceMetrics!L84,0)))</f>
        <v>50</v>
      </c>
      <c r="I84" s="5" t="n">
        <f aca="false">0.6*IF(NOT(ISNUMBER(PriceMetrics!P84)),50,100*(SUMPRODUCT(($B$2:$B$151=TRUE())*ISNUMBER(PriceMetrics!$P$2:$P$151)*(PriceMetrics!$P$2:$P$151&lt;PriceMetrics!P84))/MAX(1,SUMPRODUCT(($B$2:$B$151=TRUE())*ISNUMBER(PriceMetrics!$P$2:$P$151)))))+0.4*IF(NOT(ISNUMBER(PriceMetrics!H84)),50,IF(PriceMetrics!H84&gt;70,40,IF(PriceMetrics!H84&gt;=50,100,IF(PriceMetrics!H84&gt;=35,60,30))))</f>
        <v>50</v>
      </c>
      <c r="J84" s="5" t="n">
        <f aca="false">AVERAGE(IF(NOT(ISNUMBER(PriceMetrics!F84)),50,100*(1-(SUMPRODUCT(($B$2:$B$151=TRUE())*ISNUMBER(PriceMetrics!$F$2:$F$151)*(PriceMetrics!$F$2:$F$151&lt;PriceMetrics!F84))/MAX(1,SUMPRODUCT(($B$2:$B$151=TRUE())*ISNUMBER(PriceMetrics!$F$2:$F$151)))))),IF(NOT(ISNUMBER(PriceMetrics!G84)),50,100*(1-(SUMPRODUCT(($B$2:$B$151=TRUE())*ISNUMBER(PriceMetrics!$G$2:$G$151)*(ABS(PriceMetrics!$G$2:$G$151)&lt;ABS(PriceMetrics!G84)))/MAX(1,SUMPRODUCT(($B$2:$B$151=TRUE())*ISNUMBER(PriceMetrics!$G$2:$G$151)))))))</f>
        <v>50</v>
      </c>
      <c r="K84" s="5" t="n">
        <f aca="false">AVERAGE(H84:J84)</f>
        <v>50</v>
      </c>
      <c r="L84" s="8" t="n">
        <f aca="false">Macro!$B$26</f>
        <v>53.5</v>
      </c>
      <c r="M84" s="5" t="n">
        <f aca="false">Control!$B$3*100*G84/100+Control!$B$4*K84+Control!$B$5*L84</f>
        <v>50.7</v>
      </c>
      <c r="N84" s="3" t="n">
        <f aca="false">M84+ROW()/1000000</f>
        <v>50.700084</v>
      </c>
      <c r="O84" s="5" t="n">
        <f aca="false">M84-IF(AND(Tickers!D84="SMALLCAP100",Macro!$B$26&lt;40),Control!$B$11,0)</f>
        <v>50.7</v>
      </c>
      <c r="P84" s="3" t="str">
        <f aca="false">IF(B84=FALSE(),"-",IF(O84&gt;=Control!$B$7,"BUY",IF(O84&gt;=Control!$B$8,"ACCUMULATE",IF(O84&gt;=Control!$B$9,"HOLD","AVOID"))))</f>
        <v>-</v>
      </c>
      <c r="Q84" s="3" t="str">
        <f aca="false">IF(B84=FALSE(),"",IF(OR(O84&gt;=72,O84&lt;=32),"High",IF(OR(O84&gt;=62,O84&lt;=42),"Medium","Low")))</f>
        <v/>
      </c>
      <c r="R84" s="12" t="n">
        <f aca="false">IF(P84="BUY",Control!$B$12,IF(P84="ACCUMULATE",Control!$B$13,0))</f>
        <v>0</v>
      </c>
      <c r="S84" s="3" t="str">
        <f aca="false">IF(B84=FALSE(),"",IF(T84=C84,"Rich valuation",IF(T84=E84,"Weak growth",IF(T84=F84,"Balance-sheet leverage",IF(T84=I84,"Negative momentum","High volatility/drawdown")))))</f>
        <v/>
      </c>
      <c r="T84" s="3" t="n">
        <f aca="false">MIN(C84,E84,F84,I84,J84)</f>
        <v>50</v>
      </c>
      <c r="U84" s="3" t="n">
        <f aca="false">IF(B84=TRUE(),N84,-1000+ROW()/1000000)</f>
        <v>-999.999916</v>
      </c>
    </row>
    <row r="85" customFormat="false" ht="15" hidden="false" customHeight="false" outlineLevel="0" collapsed="false">
      <c r="A85" s="7" t="str">
        <f aca="false">Tickers!A85</f>
        <v>LALPATHLAB</v>
      </c>
      <c r="B85" s="19" t="b">
        <f aca="false">Tickers!F85</f>
        <v>0</v>
      </c>
      <c r="C85" s="5" t="n">
        <f aca="false">AVERAGE(IF(NOT(ISNUMBER(Fundamentals!C85)),50,IF(Fundamentals!C85&lt;=0,15,100*(1-(SUMPRODUCT(($B$2:$B$151=TRUE())*ISNUMBER(Fundamentals!$C$2:$C$151)*(Fundamentals!$C$2:$C$151&gt;0)*(Fundamentals!$C$2:$C$151&lt;Fundamentals!C85))/MAX(1,SUMPRODUCT(($B$2:$B$151=TRUE())*ISNUMBER(Fundamentals!$C$2:$C$151)*(Fundamentals!$C$2:$C$151&gt;0))))))),IF(NOT(ISNUMBER(Fundamentals!E85)),50,IF(Fundamentals!E85&lt;=0,15,100*(1-(SUMPRODUCT(($B$2:$B$151=TRUE())*ISNUMBER(Fundamentals!$E$2:$E$151)*(Fundamentals!$E$2:$E$151&gt;0)*(Fundamentals!$E$2:$E$151&lt;Fundamentals!E85))/MAX(1,SUMPRODUCT(($B$2:$B$151=TRUE())*ISNUMBER(Fundamentals!$E$2:$E$151)*(Fundamentals!$E$2:$E$151&gt;0))))))))</f>
        <v>50</v>
      </c>
      <c r="D85" s="5" t="n">
        <f aca="false">AVERAGE(IF(NOT(ISNUMBER(Fundamentals!F85)),50,100*(SUMPRODUCT(($B$2:$B$151=TRUE())*ISNUMBER(Fundamentals!$F$2:$F$151)*(Fundamentals!$F$2:$F$151&lt;Fundamentals!F85))/MAX(1,SUMPRODUCT(($B$2:$B$151=TRUE())*ISNUMBER(Fundamentals!$F$2:$F$151))))),IF(NOT(ISNUMBER(Fundamentals!J85)),50,100*(SUMPRODUCT(($B$2:$B$151=TRUE())*ISNUMBER(Fundamentals!$J$2:$J$151)*(Fundamentals!$J$2:$J$151&lt;Fundamentals!J85))/MAX(1,SUMPRODUCT(($B$2:$B$151=TRUE())*ISNUMBER(Fundamentals!$J$2:$J$151))))))</f>
        <v>50</v>
      </c>
      <c r="E85" s="5" t="n">
        <f aca="false">AVERAGE(IF(NOT(ISNUMBER(Fundamentals!H85)),50,100*(SUMPRODUCT(($B$2:$B$151=TRUE())*ISNUMBER(Fundamentals!$H$2:$H$151)*(Fundamentals!$H$2:$H$151&lt;Fundamentals!H85))/MAX(1,SUMPRODUCT(($B$2:$B$151=TRUE())*ISNUMBER(Fundamentals!$H$2:$H$151))))),IF(NOT(ISNUMBER(Fundamentals!I85)),50,100*(SUMPRODUCT(($B$2:$B$151=TRUE())*ISNUMBER(Fundamentals!$I$2:$I$151)*(Fundamentals!$I$2:$I$151&lt;Fundamentals!I85))/MAX(1,SUMPRODUCT(($B$2:$B$151=TRUE())*ISNUMBER(Fundamentals!$I$2:$I$151))))))</f>
        <v>50</v>
      </c>
      <c r="F85" s="5" t="n">
        <f aca="false">IF(Tickers!C85="Financial Services",50,IF(NOT(ISNUMBER(Fundamentals!G85)),50,100*(1-(SUMPRODUCT(($B$2:$B$151=TRUE())*ISNUMBER(Fundamentals!$G$2:$G$151)*(Fundamentals!$G$2:$G$151&lt;Fundamentals!G85))/MAX(1,SUMPRODUCT(($B$2:$B$151=TRUE())*ISNUMBER(Fundamentals!$G$2:$G$151)))))))</f>
        <v>50</v>
      </c>
      <c r="G85" s="5" t="n">
        <f aca="false">AVERAGE(C85:F85)</f>
        <v>50</v>
      </c>
      <c r="H85" s="5" t="n">
        <f aca="false">MIN(100,MAX(0,IF(NOT(ISNUMBER(PriceMetrics!K85)),50,100*(SUMPRODUCT(($B$2:$B$151=TRUE())*ISNUMBER(PriceMetrics!$K$2:$K$151)*(PriceMetrics!$K$2:$K$151&lt;PriceMetrics!K85))/MAX(1,SUMPRODUCT(($B$2:$B$151=TRUE())*ISNUMBER(PriceMetrics!$K$2:$K$151)))))+IF(ISNUMBER(PriceMetrics!L85),10*PriceMetrics!L85,0)))</f>
        <v>50</v>
      </c>
      <c r="I85" s="5" t="n">
        <f aca="false">0.6*IF(NOT(ISNUMBER(PriceMetrics!P85)),50,100*(SUMPRODUCT(($B$2:$B$151=TRUE())*ISNUMBER(PriceMetrics!$P$2:$P$151)*(PriceMetrics!$P$2:$P$151&lt;PriceMetrics!P85))/MAX(1,SUMPRODUCT(($B$2:$B$151=TRUE())*ISNUMBER(PriceMetrics!$P$2:$P$151)))))+0.4*IF(NOT(ISNUMBER(PriceMetrics!H85)),50,IF(PriceMetrics!H85&gt;70,40,IF(PriceMetrics!H85&gt;=50,100,IF(PriceMetrics!H85&gt;=35,60,30))))</f>
        <v>50</v>
      </c>
      <c r="J85" s="5" t="n">
        <f aca="false">AVERAGE(IF(NOT(ISNUMBER(PriceMetrics!F85)),50,100*(1-(SUMPRODUCT(($B$2:$B$151=TRUE())*ISNUMBER(PriceMetrics!$F$2:$F$151)*(PriceMetrics!$F$2:$F$151&lt;PriceMetrics!F85))/MAX(1,SUMPRODUCT(($B$2:$B$151=TRUE())*ISNUMBER(PriceMetrics!$F$2:$F$151)))))),IF(NOT(ISNUMBER(PriceMetrics!G85)),50,100*(1-(SUMPRODUCT(($B$2:$B$151=TRUE())*ISNUMBER(PriceMetrics!$G$2:$G$151)*(ABS(PriceMetrics!$G$2:$G$151)&lt;ABS(PriceMetrics!G85)))/MAX(1,SUMPRODUCT(($B$2:$B$151=TRUE())*ISNUMBER(PriceMetrics!$G$2:$G$151)))))))</f>
        <v>50</v>
      </c>
      <c r="K85" s="5" t="n">
        <f aca="false">AVERAGE(H85:J85)</f>
        <v>50</v>
      </c>
      <c r="L85" s="8" t="n">
        <f aca="false">Macro!$B$26</f>
        <v>53.5</v>
      </c>
      <c r="M85" s="5" t="n">
        <f aca="false">Control!$B$3*100*G85/100+Control!$B$4*K85+Control!$B$5*L85</f>
        <v>50.7</v>
      </c>
      <c r="N85" s="3" t="n">
        <f aca="false">M85+ROW()/1000000</f>
        <v>50.700085</v>
      </c>
      <c r="O85" s="5" t="n">
        <f aca="false">M85-IF(AND(Tickers!D85="SMALLCAP100",Macro!$B$26&lt;40),Control!$B$11,0)</f>
        <v>50.7</v>
      </c>
      <c r="P85" s="3" t="str">
        <f aca="false">IF(B85=FALSE(),"-",IF(O85&gt;=Control!$B$7,"BUY",IF(O85&gt;=Control!$B$8,"ACCUMULATE",IF(O85&gt;=Control!$B$9,"HOLD","AVOID"))))</f>
        <v>-</v>
      </c>
      <c r="Q85" s="3" t="str">
        <f aca="false">IF(B85=FALSE(),"",IF(OR(O85&gt;=72,O85&lt;=32),"High",IF(OR(O85&gt;=62,O85&lt;=42),"Medium","Low")))</f>
        <v/>
      </c>
      <c r="R85" s="12" t="n">
        <f aca="false">IF(P85="BUY",Control!$B$12,IF(P85="ACCUMULATE",Control!$B$13,0))</f>
        <v>0</v>
      </c>
      <c r="S85" s="3" t="str">
        <f aca="false">IF(B85=FALSE(),"",IF(T85=C85,"Rich valuation",IF(T85=E85,"Weak growth",IF(T85=F85,"Balance-sheet leverage",IF(T85=I85,"Negative momentum","High volatility/drawdown")))))</f>
        <v/>
      </c>
      <c r="T85" s="3" t="n">
        <f aca="false">MIN(C85,E85,F85,I85,J85)</f>
        <v>50</v>
      </c>
      <c r="U85" s="3" t="n">
        <f aca="false">IF(B85=TRUE(),N85,-1000+ROW()/1000000)</f>
        <v>-999.999915</v>
      </c>
    </row>
    <row r="86" customFormat="false" ht="15" hidden="false" customHeight="false" outlineLevel="0" collapsed="false">
      <c r="A86" s="7" t="str">
        <f aca="false">Tickers!A86</f>
        <v>FSL</v>
      </c>
      <c r="B86" s="19" t="b">
        <f aca="false">Tickers!F86</f>
        <v>0</v>
      </c>
      <c r="C86" s="5" t="n">
        <f aca="false">AVERAGE(IF(NOT(ISNUMBER(Fundamentals!C86)),50,IF(Fundamentals!C86&lt;=0,15,100*(1-(SUMPRODUCT(($B$2:$B$151=TRUE())*ISNUMBER(Fundamentals!$C$2:$C$151)*(Fundamentals!$C$2:$C$151&gt;0)*(Fundamentals!$C$2:$C$151&lt;Fundamentals!C86))/MAX(1,SUMPRODUCT(($B$2:$B$151=TRUE())*ISNUMBER(Fundamentals!$C$2:$C$151)*(Fundamentals!$C$2:$C$151&gt;0))))))),IF(NOT(ISNUMBER(Fundamentals!E86)),50,IF(Fundamentals!E86&lt;=0,15,100*(1-(SUMPRODUCT(($B$2:$B$151=TRUE())*ISNUMBER(Fundamentals!$E$2:$E$151)*(Fundamentals!$E$2:$E$151&gt;0)*(Fundamentals!$E$2:$E$151&lt;Fundamentals!E86))/MAX(1,SUMPRODUCT(($B$2:$B$151=TRUE())*ISNUMBER(Fundamentals!$E$2:$E$151)*(Fundamentals!$E$2:$E$151&gt;0))))))))</f>
        <v>50</v>
      </c>
      <c r="D86" s="5" t="n">
        <f aca="false">AVERAGE(IF(NOT(ISNUMBER(Fundamentals!F86)),50,100*(SUMPRODUCT(($B$2:$B$151=TRUE())*ISNUMBER(Fundamentals!$F$2:$F$151)*(Fundamentals!$F$2:$F$151&lt;Fundamentals!F86))/MAX(1,SUMPRODUCT(($B$2:$B$151=TRUE())*ISNUMBER(Fundamentals!$F$2:$F$151))))),IF(NOT(ISNUMBER(Fundamentals!J86)),50,100*(SUMPRODUCT(($B$2:$B$151=TRUE())*ISNUMBER(Fundamentals!$J$2:$J$151)*(Fundamentals!$J$2:$J$151&lt;Fundamentals!J86))/MAX(1,SUMPRODUCT(($B$2:$B$151=TRUE())*ISNUMBER(Fundamentals!$J$2:$J$151))))))</f>
        <v>50</v>
      </c>
      <c r="E86" s="5" t="n">
        <f aca="false">AVERAGE(IF(NOT(ISNUMBER(Fundamentals!H86)),50,100*(SUMPRODUCT(($B$2:$B$151=TRUE())*ISNUMBER(Fundamentals!$H$2:$H$151)*(Fundamentals!$H$2:$H$151&lt;Fundamentals!H86))/MAX(1,SUMPRODUCT(($B$2:$B$151=TRUE())*ISNUMBER(Fundamentals!$H$2:$H$151))))),IF(NOT(ISNUMBER(Fundamentals!I86)),50,100*(SUMPRODUCT(($B$2:$B$151=TRUE())*ISNUMBER(Fundamentals!$I$2:$I$151)*(Fundamentals!$I$2:$I$151&lt;Fundamentals!I86))/MAX(1,SUMPRODUCT(($B$2:$B$151=TRUE())*ISNUMBER(Fundamentals!$I$2:$I$151))))))</f>
        <v>50</v>
      </c>
      <c r="F86" s="5" t="n">
        <f aca="false">IF(Tickers!C86="Financial Services",50,IF(NOT(ISNUMBER(Fundamentals!G86)),50,100*(1-(SUMPRODUCT(($B$2:$B$151=TRUE())*ISNUMBER(Fundamentals!$G$2:$G$151)*(Fundamentals!$G$2:$G$151&lt;Fundamentals!G86))/MAX(1,SUMPRODUCT(($B$2:$B$151=TRUE())*ISNUMBER(Fundamentals!$G$2:$G$151)))))))</f>
        <v>50</v>
      </c>
      <c r="G86" s="5" t="n">
        <f aca="false">AVERAGE(C86:F86)</f>
        <v>50</v>
      </c>
      <c r="H86" s="5" t="n">
        <f aca="false">MIN(100,MAX(0,IF(NOT(ISNUMBER(PriceMetrics!K86)),50,100*(SUMPRODUCT(($B$2:$B$151=TRUE())*ISNUMBER(PriceMetrics!$K$2:$K$151)*(PriceMetrics!$K$2:$K$151&lt;PriceMetrics!K86))/MAX(1,SUMPRODUCT(($B$2:$B$151=TRUE())*ISNUMBER(PriceMetrics!$K$2:$K$151)))))+IF(ISNUMBER(PriceMetrics!L86),10*PriceMetrics!L86,0)))</f>
        <v>50</v>
      </c>
      <c r="I86" s="5" t="n">
        <f aca="false">0.6*IF(NOT(ISNUMBER(PriceMetrics!P86)),50,100*(SUMPRODUCT(($B$2:$B$151=TRUE())*ISNUMBER(PriceMetrics!$P$2:$P$151)*(PriceMetrics!$P$2:$P$151&lt;PriceMetrics!P86))/MAX(1,SUMPRODUCT(($B$2:$B$151=TRUE())*ISNUMBER(PriceMetrics!$P$2:$P$151)))))+0.4*IF(NOT(ISNUMBER(PriceMetrics!H86)),50,IF(PriceMetrics!H86&gt;70,40,IF(PriceMetrics!H86&gt;=50,100,IF(PriceMetrics!H86&gt;=35,60,30))))</f>
        <v>50</v>
      </c>
      <c r="J86" s="5" t="n">
        <f aca="false">AVERAGE(IF(NOT(ISNUMBER(PriceMetrics!F86)),50,100*(1-(SUMPRODUCT(($B$2:$B$151=TRUE())*ISNUMBER(PriceMetrics!$F$2:$F$151)*(PriceMetrics!$F$2:$F$151&lt;PriceMetrics!F86))/MAX(1,SUMPRODUCT(($B$2:$B$151=TRUE())*ISNUMBER(PriceMetrics!$F$2:$F$151)))))),IF(NOT(ISNUMBER(PriceMetrics!G86)),50,100*(1-(SUMPRODUCT(($B$2:$B$151=TRUE())*ISNUMBER(PriceMetrics!$G$2:$G$151)*(ABS(PriceMetrics!$G$2:$G$151)&lt;ABS(PriceMetrics!G86)))/MAX(1,SUMPRODUCT(($B$2:$B$151=TRUE())*ISNUMBER(PriceMetrics!$G$2:$G$151)))))))</f>
        <v>50</v>
      </c>
      <c r="K86" s="5" t="n">
        <f aca="false">AVERAGE(H86:J86)</f>
        <v>50</v>
      </c>
      <c r="L86" s="8" t="n">
        <f aca="false">Macro!$B$26</f>
        <v>53.5</v>
      </c>
      <c r="M86" s="5" t="n">
        <f aca="false">Control!$B$3*100*G86/100+Control!$B$4*K86+Control!$B$5*L86</f>
        <v>50.7</v>
      </c>
      <c r="N86" s="3" t="n">
        <f aca="false">M86+ROW()/1000000</f>
        <v>50.700086</v>
      </c>
      <c r="O86" s="5" t="n">
        <f aca="false">M86-IF(AND(Tickers!D86="SMALLCAP100",Macro!$B$26&lt;40),Control!$B$11,0)</f>
        <v>50.7</v>
      </c>
      <c r="P86" s="3" t="str">
        <f aca="false">IF(B86=FALSE(),"-",IF(O86&gt;=Control!$B$7,"BUY",IF(O86&gt;=Control!$B$8,"ACCUMULATE",IF(O86&gt;=Control!$B$9,"HOLD","AVOID"))))</f>
        <v>-</v>
      </c>
      <c r="Q86" s="3" t="str">
        <f aca="false">IF(B86=FALSE(),"",IF(OR(O86&gt;=72,O86&lt;=32),"High",IF(OR(O86&gt;=62,O86&lt;=42),"Medium","Low")))</f>
        <v/>
      </c>
      <c r="R86" s="12" t="n">
        <f aca="false">IF(P86="BUY",Control!$B$12,IF(P86="ACCUMULATE",Control!$B$13,0))</f>
        <v>0</v>
      </c>
      <c r="S86" s="3" t="str">
        <f aca="false">IF(B86=FALSE(),"",IF(T86=C86,"Rich valuation",IF(T86=E86,"Weak growth",IF(T86=F86,"Balance-sheet leverage",IF(T86=I86,"Negative momentum","High volatility/drawdown")))))</f>
        <v/>
      </c>
      <c r="T86" s="3" t="n">
        <f aca="false">MIN(C86,E86,F86,I86,J86)</f>
        <v>50</v>
      </c>
      <c r="U86" s="3" t="n">
        <f aca="false">IF(B86=TRUE(),N86,-1000+ROW()/1000000)</f>
        <v>-999.999914</v>
      </c>
    </row>
    <row r="87" customFormat="false" ht="15" hidden="false" customHeight="false" outlineLevel="0" collapsed="false">
      <c r="A87" s="7" t="str">
        <f aca="false">Tickers!A87</f>
        <v>FIVESTAR</v>
      </c>
      <c r="B87" s="19" t="b">
        <f aca="false">Tickers!F87</f>
        <v>0</v>
      </c>
      <c r="C87" s="5" t="n">
        <f aca="false">AVERAGE(IF(NOT(ISNUMBER(Fundamentals!C87)),50,IF(Fundamentals!C87&lt;=0,15,100*(1-(SUMPRODUCT(($B$2:$B$151=TRUE())*ISNUMBER(Fundamentals!$C$2:$C$151)*(Fundamentals!$C$2:$C$151&gt;0)*(Fundamentals!$C$2:$C$151&lt;Fundamentals!C87))/MAX(1,SUMPRODUCT(($B$2:$B$151=TRUE())*ISNUMBER(Fundamentals!$C$2:$C$151)*(Fundamentals!$C$2:$C$151&gt;0))))))),IF(NOT(ISNUMBER(Fundamentals!E87)),50,IF(Fundamentals!E87&lt;=0,15,100*(1-(SUMPRODUCT(($B$2:$B$151=TRUE())*ISNUMBER(Fundamentals!$E$2:$E$151)*(Fundamentals!$E$2:$E$151&gt;0)*(Fundamentals!$E$2:$E$151&lt;Fundamentals!E87))/MAX(1,SUMPRODUCT(($B$2:$B$151=TRUE())*ISNUMBER(Fundamentals!$E$2:$E$151)*(Fundamentals!$E$2:$E$151&gt;0))))))))</f>
        <v>50</v>
      </c>
      <c r="D87" s="5" t="n">
        <f aca="false">AVERAGE(IF(NOT(ISNUMBER(Fundamentals!F87)),50,100*(SUMPRODUCT(($B$2:$B$151=TRUE())*ISNUMBER(Fundamentals!$F$2:$F$151)*(Fundamentals!$F$2:$F$151&lt;Fundamentals!F87))/MAX(1,SUMPRODUCT(($B$2:$B$151=TRUE())*ISNUMBER(Fundamentals!$F$2:$F$151))))),IF(NOT(ISNUMBER(Fundamentals!J87)),50,100*(SUMPRODUCT(($B$2:$B$151=TRUE())*ISNUMBER(Fundamentals!$J$2:$J$151)*(Fundamentals!$J$2:$J$151&lt;Fundamentals!J87))/MAX(1,SUMPRODUCT(($B$2:$B$151=TRUE())*ISNUMBER(Fundamentals!$J$2:$J$151))))))</f>
        <v>50</v>
      </c>
      <c r="E87" s="5" t="n">
        <f aca="false">AVERAGE(IF(NOT(ISNUMBER(Fundamentals!H87)),50,100*(SUMPRODUCT(($B$2:$B$151=TRUE())*ISNUMBER(Fundamentals!$H$2:$H$151)*(Fundamentals!$H$2:$H$151&lt;Fundamentals!H87))/MAX(1,SUMPRODUCT(($B$2:$B$151=TRUE())*ISNUMBER(Fundamentals!$H$2:$H$151))))),IF(NOT(ISNUMBER(Fundamentals!I87)),50,100*(SUMPRODUCT(($B$2:$B$151=TRUE())*ISNUMBER(Fundamentals!$I$2:$I$151)*(Fundamentals!$I$2:$I$151&lt;Fundamentals!I87))/MAX(1,SUMPRODUCT(($B$2:$B$151=TRUE())*ISNUMBER(Fundamentals!$I$2:$I$151))))))</f>
        <v>50</v>
      </c>
      <c r="F87" s="5" t="n">
        <f aca="false">IF(Tickers!C87="Financial Services",50,IF(NOT(ISNUMBER(Fundamentals!G87)),50,100*(1-(SUMPRODUCT(($B$2:$B$151=TRUE())*ISNUMBER(Fundamentals!$G$2:$G$151)*(Fundamentals!$G$2:$G$151&lt;Fundamentals!G87))/MAX(1,SUMPRODUCT(($B$2:$B$151=TRUE())*ISNUMBER(Fundamentals!$G$2:$G$151)))))))</f>
        <v>50</v>
      </c>
      <c r="G87" s="5" t="n">
        <f aca="false">AVERAGE(C87:F87)</f>
        <v>50</v>
      </c>
      <c r="H87" s="5" t="n">
        <f aca="false">MIN(100,MAX(0,IF(NOT(ISNUMBER(PriceMetrics!K87)),50,100*(SUMPRODUCT(($B$2:$B$151=TRUE())*ISNUMBER(PriceMetrics!$K$2:$K$151)*(PriceMetrics!$K$2:$K$151&lt;PriceMetrics!K87))/MAX(1,SUMPRODUCT(($B$2:$B$151=TRUE())*ISNUMBER(PriceMetrics!$K$2:$K$151)))))+IF(ISNUMBER(PriceMetrics!L87),10*PriceMetrics!L87,0)))</f>
        <v>50</v>
      </c>
      <c r="I87" s="5" t="n">
        <f aca="false">0.6*IF(NOT(ISNUMBER(PriceMetrics!P87)),50,100*(SUMPRODUCT(($B$2:$B$151=TRUE())*ISNUMBER(PriceMetrics!$P$2:$P$151)*(PriceMetrics!$P$2:$P$151&lt;PriceMetrics!P87))/MAX(1,SUMPRODUCT(($B$2:$B$151=TRUE())*ISNUMBER(PriceMetrics!$P$2:$P$151)))))+0.4*IF(NOT(ISNUMBER(PriceMetrics!H87)),50,IF(PriceMetrics!H87&gt;70,40,IF(PriceMetrics!H87&gt;=50,100,IF(PriceMetrics!H87&gt;=35,60,30))))</f>
        <v>50</v>
      </c>
      <c r="J87" s="5" t="n">
        <f aca="false">AVERAGE(IF(NOT(ISNUMBER(PriceMetrics!F87)),50,100*(1-(SUMPRODUCT(($B$2:$B$151=TRUE())*ISNUMBER(PriceMetrics!$F$2:$F$151)*(PriceMetrics!$F$2:$F$151&lt;PriceMetrics!F87))/MAX(1,SUMPRODUCT(($B$2:$B$151=TRUE())*ISNUMBER(PriceMetrics!$F$2:$F$151)))))),IF(NOT(ISNUMBER(PriceMetrics!G87)),50,100*(1-(SUMPRODUCT(($B$2:$B$151=TRUE())*ISNUMBER(PriceMetrics!$G$2:$G$151)*(ABS(PriceMetrics!$G$2:$G$151)&lt;ABS(PriceMetrics!G87)))/MAX(1,SUMPRODUCT(($B$2:$B$151=TRUE())*ISNUMBER(PriceMetrics!$G$2:$G$151)))))))</f>
        <v>50</v>
      </c>
      <c r="K87" s="5" t="n">
        <f aca="false">AVERAGE(H87:J87)</f>
        <v>50</v>
      </c>
      <c r="L87" s="8" t="n">
        <f aca="false">Macro!$B$26</f>
        <v>53.5</v>
      </c>
      <c r="M87" s="5" t="n">
        <f aca="false">Control!$B$3*100*G87/100+Control!$B$4*K87+Control!$B$5*L87</f>
        <v>50.7</v>
      </c>
      <c r="N87" s="3" t="n">
        <f aca="false">M87+ROW()/1000000</f>
        <v>50.700087</v>
      </c>
      <c r="O87" s="5" t="n">
        <f aca="false">M87-IF(AND(Tickers!D87="SMALLCAP100",Macro!$B$26&lt;40),Control!$B$11,0)</f>
        <v>50.7</v>
      </c>
      <c r="P87" s="3" t="str">
        <f aca="false">IF(B87=FALSE(),"-",IF(O87&gt;=Control!$B$7,"BUY",IF(O87&gt;=Control!$B$8,"ACCUMULATE",IF(O87&gt;=Control!$B$9,"HOLD","AVOID"))))</f>
        <v>-</v>
      </c>
      <c r="Q87" s="3" t="str">
        <f aca="false">IF(B87=FALSE(),"",IF(OR(O87&gt;=72,O87&lt;=32),"High",IF(OR(O87&gt;=62,O87&lt;=42),"Medium","Low")))</f>
        <v/>
      </c>
      <c r="R87" s="12" t="n">
        <f aca="false">IF(P87="BUY",Control!$B$12,IF(P87="ACCUMULATE",Control!$B$13,0))</f>
        <v>0</v>
      </c>
      <c r="S87" s="3" t="str">
        <f aca="false">IF(B87=FALSE(),"",IF(T87=C87,"Rich valuation",IF(T87=E87,"Weak growth",IF(T87=F87,"Balance-sheet leverage",IF(T87=I87,"Negative momentum","High volatility/drawdown")))))</f>
        <v/>
      </c>
      <c r="T87" s="3" t="n">
        <f aca="false">MIN(C87,E87,F87,I87,J87)</f>
        <v>50</v>
      </c>
      <c r="U87" s="3" t="n">
        <f aca="false">IF(B87=TRUE(),N87,-1000+ROW()/1000000)</f>
        <v>-999.999913</v>
      </c>
    </row>
    <row r="88" customFormat="false" ht="15" hidden="false" customHeight="false" outlineLevel="0" collapsed="false">
      <c r="A88" s="7" t="str">
        <f aca="false">Tickers!A88</f>
        <v>FORCEMOT</v>
      </c>
      <c r="B88" s="19" t="b">
        <f aca="false">Tickers!F88</f>
        <v>0</v>
      </c>
      <c r="C88" s="5" t="n">
        <f aca="false">AVERAGE(IF(NOT(ISNUMBER(Fundamentals!C88)),50,IF(Fundamentals!C88&lt;=0,15,100*(1-(SUMPRODUCT(($B$2:$B$151=TRUE())*ISNUMBER(Fundamentals!$C$2:$C$151)*(Fundamentals!$C$2:$C$151&gt;0)*(Fundamentals!$C$2:$C$151&lt;Fundamentals!C88))/MAX(1,SUMPRODUCT(($B$2:$B$151=TRUE())*ISNUMBER(Fundamentals!$C$2:$C$151)*(Fundamentals!$C$2:$C$151&gt;0))))))),IF(NOT(ISNUMBER(Fundamentals!E88)),50,IF(Fundamentals!E88&lt;=0,15,100*(1-(SUMPRODUCT(($B$2:$B$151=TRUE())*ISNUMBER(Fundamentals!$E$2:$E$151)*(Fundamentals!$E$2:$E$151&gt;0)*(Fundamentals!$E$2:$E$151&lt;Fundamentals!E88))/MAX(1,SUMPRODUCT(($B$2:$B$151=TRUE())*ISNUMBER(Fundamentals!$E$2:$E$151)*(Fundamentals!$E$2:$E$151&gt;0))))))))</f>
        <v>50</v>
      </c>
      <c r="D88" s="5" t="n">
        <f aca="false">AVERAGE(IF(NOT(ISNUMBER(Fundamentals!F88)),50,100*(SUMPRODUCT(($B$2:$B$151=TRUE())*ISNUMBER(Fundamentals!$F$2:$F$151)*(Fundamentals!$F$2:$F$151&lt;Fundamentals!F88))/MAX(1,SUMPRODUCT(($B$2:$B$151=TRUE())*ISNUMBER(Fundamentals!$F$2:$F$151))))),IF(NOT(ISNUMBER(Fundamentals!J88)),50,100*(SUMPRODUCT(($B$2:$B$151=TRUE())*ISNUMBER(Fundamentals!$J$2:$J$151)*(Fundamentals!$J$2:$J$151&lt;Fundamentals!J88))/MAX(1,SUMPRODUCT(($B$2:$B$151=TRUE())*ISNUMBER(Fundamentals!$J$2:$J$151))))))</f>
        <v>50</v>
      </c>
      <c r="E88" s="5" t="n">
        <f aca="false">AVERAGE(IF(NOT(ISNUMBER(Fundamentals!H88)),50,100*(SUMPRODUCT(($B$2:$B$151=TRUE())*ISNUMBER(Fundamentals!$H$2:$H$151)*(Fundamentals!$H$2:$H$151&lt;Fundamentals!H88))/MAX(1,SUMPRODUCT(($B$2:$B$151=TRUE())*ISNUMBER(Fundamentals!$H$2:$H$151))))),IF(NOT(ISNUMBER(Fundamentals!I88)),50,100*(SUMPRODUCT(($B$2:$B$151=TRUE())*ISNUMBER(Fundamentals!$I$2:$I$151)*(Fundamentals!$I$2:$I$151&lt;Fundamentals!I88))/MAX(1,SUMPRODUCT(($B$2:$B$151=TRUE())*ISNUMBER(Fundamentals!$I$2:$I$151))))))</f>
        <v>50</v>
      </c>
      <c r="F88" s="5" t="n">
        <f aca="false">IF(Tickers!C88="Financial Services",50,IF(NOT(ISNUMBER(Fundamentals!G88)),50,100*(1-(SUMPRODUCT(($B$2:$B$151=TRUE())*ISNUMBER(Fundamentals!$G$2:$G$151)*(Fundamentals!$G$2:$G$151&lt;Fundamentals!G88))/MAX(1,SUMPRODUCT(($B$2:$B$151=TRUE())*ISNUMBER(Fundamentals!$G$2:$G$151)))))))</f>
        <v>50</v>
      </c>
      <c r="G88" s="5" t="n">
        <f aca="false">AVERAGE(C88:F88)</f>
        <v>50</v>
      </c>
      <c r="H88" s="5" t="n">
        <f aca="false">MIN(100,MAX(0,IF(NOT(ISNUMBER(PriceMetrics!K88)),50,100*(SUMPRODUCT(($B$2:$B$151=TRUE())*ISNUMBER(PriceMetrics!$K$2:$K$151)*(PriceMetrics!$K$2:$K$151&lt;PriceMetrics!K88))/MAX(1,SUMPRODUCT(($B$2:$B$151=TRUE())*ISNUMBER(PriceMetrics!$K$2:$K$151)))))+IF(ISNUMBER(PriceMetrics!L88),10*PriceMetrics!L88,0)))</f>
        <v>50</v>
      </c>
      <c r="I88" s="5" t="n">
        <f aca="false">0.6*IF(NOT(ISNUMBER(PriceMetrics!P88)),50,100*(SUMPRODUCT(($B$2:$B$151=TRUE())*ISNUMBER(PriceMetrics!$P$2:$P$151)*(PriceMetrics!$P$2:$P$151&lt;PriceMetrics!P88))/MAX(1,SUMPRODUCT(($B$2:$B$151=TRUE())*ISNUMBER(PriceMetrics!$P$2:$P$151)))))+0.4*IF(NOT(ISNUMBER(PriceMetrics!H88)),50,IF(PriceMetrics!H88&gt;70,40,IF(PriceMetrics!H88&gt;=50,100,IF(PriceMetrics!H88&gt;=35,60,30))))</f>
        <v>50</v>
      </c>
      <c r="J88" s="5" t="n">
        <f aca="false">AVERAGE(IF(NOT(ISNUMBER(PriceMetrics!F88)),50,100*(1-(SUMPRODUCT(($B$2:$B$151=TRUE())*ISNUMBER(PriceMetrics!$F$2:$F$151)*(PriceMetrics!$F$2:$F$151&lt;PriceMetrics!F88))/MAX(1,SUMPRODUCT(($B$2:$B$151=TRUE())*ISNUMBER(PriceMetrics!$F$2:$F$151)))))),IF(NOT(ISNUMBER(PriceMetrics!G88)),50,100*(1-(SUMPRODUCT(($B$2:$B$151=TRUE())*ISNUMBER(PriceMetrics!$G$2:$G$151)*(ABS(PriceMetrics!$G$2:$G$151)&lt;ABS(PriceMetrics!G88)))/MAX(1,SUMPRODUCT(($B$2:$B$151=TRUE())*ISNUMBER(PriceMetrics!$G$2:$G$151)))))))</f>
        <v>50</v>
      </c>
      <c r="K88" s="5" t="n">
        <f aca="false">AVERAGE(H88:J88)</f>
        <v>50</v>
      </c>
      <c r="L88" s="8" t="n">
        <f aca="false">Macro!$B$26</f>
        <v>53.5</v>
      </c>
      <c r="M88" s="5" t="n">
        <f aca="false">Control!$B$3*100*G88/100+Control!$B$4*K88+Control!$B$5*L88</f>
        <v>50.7</v>
      </c>
      <c r="N88" s="3" t="n">
        <f aca="false">M88+ROW()/1000000</f>
        <v>50.700088</v>
      </c>
      <c r="O88" s="5" t="n">
        <f aca="false">M88-IF(AND(Tickers!D88="SMALLCAP100",Macro!$B$26&lt;40),Control!$B$11,0)</f>
        <v>50.7</v>
      </c>
      <c r="P88" s="3" t="str">
        <f aca="false">IF(B88=FALSE(),"-",IF(O88&gt;=Control!$B$7,"BUY",IF(O88&gt;=Control!$B$8,"ACCUMULATE",IF(O88&gt;=Control!$B$9,"HOLD","AVOID"))))</f>
        <v>-</v>
      </c>
      <c r="Q88" s="3" t="str">
        <f aca="false">IF(B88=FALSE(),"",IF(OR(O88&gt;=72,O88&lt;=32),"High",IF(OR(O88&gt;=62,O88&lt;=42),"Medium","Low")))</f>
        <v/>
      </c>
      <c r="R88" s="12" t="n">
        <f aca="false">IF(P88="BUY",Control!$B$12,IF(P88="ACCUMULATE",Control!$B$13,0))</f>
        <v>0</v>
      </c>
      <c r="S88" s="3" t="str">
        <f aca="false">IF(B88=FALSE(),"",IF(T88=C88,"Rich valuation",IF(T88=E88,"Weak growth",IF(T88=F88,"Balance-sheet leverage",IF(T88=I88,"Negative momentum","High volatility/drawdown")))))</f>
        <v/>
      </c>
      <c r="T88" s="3" t="n">
        <f aca="false">MIN(C88,E88,F88,I88,J88)</f>
        <v>50</v>
      </c>
      <c r="U88" s="3" t="n">
        <f aca="false">IF(B88=TRUE(),N88,-1000+ROW()/1000000)</f>
        <v>-999.999912</v>
      </c>
    </row>
    <row r="89" customFormat="false" ht="15" hidden="false" customHeight="false" outlineLevel="0" collapsed="false">
      <c r="A89" s="7" t="str">
        <f aca="false">Tickers!A89</f>
        <v>GRSE</v>
      </c>
      <c r="B89" s="19" t="b">
        <f aca="false">Tickers!F89</f>
        <v>0</v>
      </c>
      <c r="C89" s="5" t="n">
        <f aca="false">AVERAGE(IF(NOT(ISNUMBER(Fundamentals!C89)),50,IF(Fundamentals!C89&lt;=0,15,100*(1-(SUMPRODUCT(($B$2:$B$151=TRUE())*ISNUMBER(Fundamentals!$C$2:$C$151)*(Fundamentals!$C$2:$C$151&gt;0)*(Fundamentals!$C$2:$C$151&lt;Fundamentals!C89))/MAX(1,SUMPRODUCT(($B$2:$B$151=TRUE())*ISNUMBER(Fundamentals!$C$2:$C$151)*(Fundamentals!$C$2:$C$151&gt;0))))))),IF(NOT(ISNUMBER(Fundamentals!E89)),50,IF(Fundamentals!E89&lt;=0,15,100*(1-(SUMPRODUCT(($B$2:$B$151=TRUE())*ISNUMBER(Fundamentals!$E$2:$E$151)*(Fundamentals!$E$2:$E$151&gt;0)*(Fundamentals!$E$2:$E$151&lt;Fundamentals!E89))/MAX(1,SUMPRODUCT(($B$2:$B$151=TRUE())*ISNUMBER(Fundamentals!$E$2:$E$151)*(Fundamentals!$E$2:$E$151&gt;0))))))))</f>
        <v>50</v>
      </c>
      <c r="D89" s="5" t="n">
        <f aca="false">AVERAGE(IF(NOT(ISNUMBER(Fundamentals!F89)),50,100*(SUMPRODUCT(($B$2:$B$151=TRUE())*ISNUMBER(Fundamentals!$F$2:$F$151)*(Fundamentals!$F$2:$F$151&lt;Fundamentals!F89))/MAX(1,SUMPRODUCT(($B$2:$B$151=TRUE())*ISNUMBER(Fundamentals!$F$2:$F$151))))),IF(NOT(ISNUMBER(Fundamentals!J89)),50,100*(SUMPRODUCT(($B$2:$B$151=TRUE())*ISNUMBER(Fundamentals!$J$2:$J$151)*(Fundamentals!$J$2:$J$151&lt;Fundamentals!J89))/MAX(1,SUMPRODUCT(($B$2:$B$151=TRUE())*ISNUMBER(Fundamentals!$J$2:$J$151))))))</f>
        <v>50</v>
      </c>
      <c r="E89" s="5" t="n">
        <f aca="false">AVERAGE(IF(NOT(ISNUMBER(Fundamentals!H89)),50,100*(SUMPRODUCT(($B$2:$B$151=TRUE())*ISNUMBER(Fundamentals!$H$2:$H$151)*(Fundamentals!$H$2:$H$151&lt;Fundamentals!H89))/MAX(1,SUMPRODUCT(($B$2:$B$151=TRUE())*ISNUMBER(Fundamentals!$H$2:$H$151))))),IF(NOT(ISNUMBER(Fundamentals!I89)),50,100*(SUMPRODUCT(($B$2:$B$151=TRUE())*ISNUMBER(Fundamentals!$I$2:$I$151)*(Fundamentals!$I$2:$I$151&lt;Fundamentals!I89))/MAX(1,SUMPRODUCT(($B$2:$B$151=TRUE())*ISNUMBER(Fundamentals!$I$2:$I$151))))))</f>
        <v>50</v>
      </c>
      <c r="F89" s="5" t="n">
        <f aca="false">IF(Tickers!C89="Financial Services",50,IF(NOT(ISNUMBER(Fundamentals!G89)),50,100*(1-(SUMPRODUCT(($B$2:$B$151=TRUE())*ISNUMBER(Fundamentals!$G$2:$G$151)*(Fundamentals!$G$2:$G$151&lt;Fundamentals!G89))/MAX(1,SUMPRODUCT(($B$2:$B$151=TRUE())*ISNUMBER(Fundamentals!$G$2:$G$151)))))))</f>
        <v>50</v>
      </c>
      <c r="G89" s="5" t="n">
        <f aca="false">AVERAGE(C89:F89)</f>
        <v>50</v>
      </c>
      <c r="H89" s="5" t="n">
        <f aca="false">MIN(100,MAX(0,IF(NOT(ISNUMBER(PriceMetrics!K89)),50,100*(SUMPRODUCT(($B$2:$B$151=TRUE())*ISNUMBER(PriceMetrics!$K$2:$K$151)*(PriceMetrics!$K$2:$K$151&lt;PriceMetrics!K89))/MAX(1,SUMPRODUCT(($B$2:$B$151=TRUE())*ISNUMBER(PriceMetrics!$K$2:$K$151)))))+IF(ISNUMBER(PriceMetrics!L89),10*PriceMetrics!L89,0)))</f>
        <v>50</v>
      </c>
      <c r="I89" s="5" t="n">
        <f aca="false">0.6*IF(NOT(ISNUMBER(PriceMetrics!P89)),50,100*(SUMPRODUCT(($B$2:$B$151=TRUE())*ISNUMBER(PriceMetrics!$P$2:$P$151)*(PriceMetrics!$P$2:$P$151&lt;PriceMetrics!P89))/MAX(1,SUMPRODUCT(($B$2:$B$151=TRUE())*ISNUMBER(PriceMetrics!$P$2:$P$151)))))+0.4*IF(NOT(ISNUMBER(PriceMetrics!H89)),50,IF(PriceMetrics!H89&gt;70,40,IF(PriceMetrics!H89&gt;=50,100,IF(PriceMetrics!H89&gt;=35,60,30))))</f>
        <v>50</v>
      </c>
      <c r="J89" s="5" t="n">
        <f aca="false">AVERAGE(IF(NOT(ISNUMBER(PriceMetrics!F89)),50,100*(1-(SUMPRODUCT(($B$2:$B$151=TRUE())*ISNUMBER(PriceMetrics!$F$2:$F$151)*(PriceMetrics!$F$2:$F$151&lt;PriceMetrics!F89))/MAX(1,SUMPRODUCT(($B$2:$B$151=TRUE())*ISNUMBER(PriceMetrics!$F$2:$F$151)))))),IF(NOT(ISNUMBER(PriceMetrics!G89)),50,100*(1-(SUMPRODUCT(($B$2:$B$151=TRUE())*ISNUMBER(PriceMetrics!$G$2:$G$151)*(ABS(PriceMetrics!$G$2:$G$151)&lt;ABS(PriceMetrics!G89)))/MAX(1,SUMPRODUCT(($B$2:$B$151=TRUE())*ISNUMBER(PriceMetrics!$G$2:$G$151)))))))</f>
        <v>50</v>
      </c>
      <c r="K89" s="5" t="n">
        <f aca="false">AVERAGE(H89:J89)</f>
        <v>50</v>
      </c>
      <c r="L89" s="8" t="n">
        <f aca="false">Macro!$B$26</f>
        <v>53.5</v>
      </c>
      <c r="M89" s="5" t="n">
        <f aca="false">Control!$B$3*100*G89/100+Control!$B$4*K89+Control!$B$5*L89</f>
        <v>50.7</v>
      </c>
      <c r="N89" s="3" t="n">
        <f aca="false">M89+ROW()/1000000</f>
        <v>50.700089</v>
      </c>
      <c r="O89" s="5" t="n">
        <f aca="false">M89-IF(AND(Tickers!D89="SMALLCAP100",Macro!$B$26&lt;40),Control!$B$11,0)</f>
        <v>50.7</v>
      </c>
      <c r="P89" s="3" t="str">
        <f aca="false">IF(B89=FALSE(),"-",IF(O89&gt;=Control!$B$7,"BUY",IF(O89&gt;=Control!$B$8,"ACCUMULATE",IF(O89&gt;=Control!$B$9,"HOLD","AVOID"))))</f>
        <v>-</v>
      </c>
      <c r="Q89" s="3" t="str">
        <f aca="false">IF(B89=FALSE(),"",IF(OR(O89&gt;=72,O89&lt;=32),"High",IF(OR(O89&gt;=62,O89&lt;=42),"Medium","Low")))</f>
        <v/>
      </c>
      <c r="R89" s="12" t="n">
        <f aca="false">IF(P89="BUY",Control!$B$12,IF(P89="ACCUMULATE",Control!$B$13,0))</f>
        <v>0</v>
      </c>
      <c r="S89" s="3" t="str">
        <f aca="false">IF(B89=FALSE(),"",IF(T89=C89,"Rich valuation",IF(T89=E89,"Weak growth",IF(T89=F89,"Balance-sheet leverage",IF(T89=I89,"Negative momentum","High volatility/drawdown")))))</f>
        <v/>
      </c>
      <c r="T89" s="3" t="n">
        <f aca="false">MIN(C89,E89,F89,I89,J89)</f>
        <v>50</v>
      </c>
      <c r="U89" s="3" t="n">
        <f aca="false">IF(B89=TRUE(),N89,-1000+ROW()/1000000)</f>
        <v>-999.999911</v>
      </c>
    </row>
    <row r="90" customFormat="false" ht="15" hidden="false" customHeight="false" outlineLevel="0" collapsed="false">
      <c r="A90" s="7" t="str">
        <f aca="false">Tickers!A90</f>
        <v>GLAND</v>
      </c>
      <c r="B90" s="19" t="b">
        <f aca="false">Tickers!F90</f>
        <v>0</v>
      </c>
      <c r="C90" s="5" t="n">
        <f aca="false">AVERAGE(IF(NOT(ISNUMBER(Fundamentals!C90)),50,IF(Fundamentals!C90&lt;=0,15,100*(1-(SUMPRODUCT(($B$2:$B$151=TRUE())*ISNUMBER(Fundamentals!$C$2:$C$151)*(Fundamentals!$C$2:$C$151&gt;0)*(Fundamentals!$C$2:$C$151&lt;Fundamentals!C90))/MAX(1,SUMPRODUCT(($B$2:$B$151=TRUE())*ISNUMBER(Fundamentals!$C$2:$C$151)*(Fundamentals!$C$2:$C$151&gt;0))))))),IF(NOT(ISNUMBER(Fundamentals!E90)),50,IF(Fundamentals!E90&lt;=0,15,100*(1-(SUMPRODUCT(($B$2:$B$151=TRUE())*ISNUMBER(Fundamentals!$E$2:$E$151)*(Fundamentals!$E$2:$E$151&gt;0)*(Fundamentals!$E$2:$E$151&lt;Fundamentals!E90))/MAX(1,SUMPRODUCT(($B$2:$B$151=TRUE())*ISNUMBER(Fundamentals!$E$2:$E$151)*(Fundamentals!$E$2:$E$151&gt;0))))))))</f>
        <v>50</v>
      </c>
      <c r="D90" s="5" t="n">
        <f aca="false">AVERAGE(IF(NOT(ISNUMBER(Fundamentals!F90)),50,100*(SUMPRODUCT(($B$2:$B$151=TRUE())*ISNUMBER(Fundamentals!$F$2:$F$151)*(Fundamentals!$F$2:$F$151&lt;Fundamentals!F90))/MAX(1,SUMPRODUCT(($B$2:$B$151=TRUE())*ISNUMBER(Fundamentals!$F$2:$F$151))))),IF(NOT(ISNUMBER(Fundamentals!J90)),50,100*(SUMPRODUCT(($B$2:$B$151=TRUE())*ISNUMBER(Fundamentals!$J$2:$J$151)*(Fundamentals!$J$2:$J$151&lt;Fundamentals!J90))/MAX(1,SUMPRODUCT(($B$2:$B$151=TRUE())*ISNUMBER(Fundamentals!$J$2:$J$151))))))</f>
        <v>50</v>
      </c>
      <c r="E90" s="5" t="n">
        <f aca="false">AVERAGE(IF(NOT(ISNUMBER(Fundamentals!H90)),50,100*(SUMPRODUCT(($B$2:$B$151=TRUE())*ISNUMBER(Fundamentals!$H$2:$H$151)*(Fundamentals!$H$2:$H$151&lt;Fundamentals!H90))/MAX(1,SUMPRODUCT(($B$2:$B$151=TRUE())*ISNUMBER(Fundamentals!$H$2:$H$151))))),IF(NOT(ISNUMBER(Fundamentals!I90)),50,100*(SUMPRODUCT(($B$2:$B$151=TRUE())*ISNUMBER(Fundamentals!$I$2:$I$151)*(Fundamentals!$I$2:$I$151&lt;Fundamentals!I90))/MAX(1,SUMPRODUCT(($B$2:$B$151=TRUE())*ISNUMBER(Fundamentals!$I$2:$I$151))))))</f>
        <v>50</v>
      </c>
      <c r="F90" s="5" t="n">
        <f aca="false">IF(Tickers!C90="Financial Services",50,IF(NOT(ISNUMBER(Fundamentals!G90)),50,100*(1-(SUMPRODUCT(($B$2:$B$151=TRUE())*ISNUMBER(Fundamentals!$G$2:$G$151)*(Fundamentals!$G$2:$G$151&lt;Fundamentals!G90))/MAX(1,SUMPRODUCT(($B$2:$B$151=TRUE())*ISNUMBER(Fundamentals!$G$2:$G$151)))))))</f>
        <v>50</v>
      </c>
      <c r="G90" s="5" t="n">
        <f aca="false">AVERAGE(C90:F90)</f>
        <v>50</v>
      </c>
      <c r="H90" s="5" t="n">
        <f aca="false">MIN(100,MAX(0,IF(NOT(ISNUMBER(PriceMetrics!K90)),50,100*(SUMPRODUCT(($B$2:$B$151=TRUE())*ISNUMBER(PriceMetrics!$K$2:$K$151)*(PriceMetrics!$K$2:$K$151&lt;PriceMetrics!K90))/MAX(1,SUMPRODUCT(($B$2:$B$151=TRUE())*ISNUMBER(PriceMetrics!$K$2:$K$151)))))+IF(ISNUMBER(PriceMetrics!L90),10*PriceMetrics!L90,0)))</f>
        <v>50</v>
      </c>
      <c r="I90" s="5" t="n">
        <f aca="false">0.6*IF(NOT(ISNUMBER(PriceMetrics!P90)),50,100*(SUMPRODUCT(($B$2:$B$151=TRUE())*ISNUMBER(PriceMetrics!$P$2:$P$151)*(PriceMetrics!$P$2:$P$151&lt;PriceMetrics!P90))/MAX(1,SUMPRODUCT(($B$2:$B$151=TRUE())*ISNUMBER(PriceMetrics!$P$2:$P$151)))))+0.4*IF(NOT(ISNUMBER(PriceMetrics!H90)),50,IF(PriceMetrics!H90&gt;70,40,IF(PriceMetrics!H90&gt;=50,100,IF(PriceMetrics!H90&gt;=35,60,30))))</f>
        <v>50</v>
      </c>
      <c r="J90" s="5" t="n">
        <f aca="false">AVERAGE(IF(NOT(ISNUMBER(PriceMetrics!F90)),50,100*(1-(SUMPRODUCT(($B$2:$B$151=TRUE())*ISNUMBER(PriceMetrics!$F$2:$F$151)*(PriceMetrics!$F$2:$F$151&lt;PriceMetrics!F90))/MAX(1,SUMPRODUCT(($B$2:$B$151=TRUE())*ISNUMBER(PriceMetrics!$F$2:$F$151)))))),IF(NOT(ISNUMBER(PriceMetrics!G90)),50,100*(1-(SUMPRODUCT(($B$2:$B$151=TRUE())*ISNUMBER(PriceMetrics!$G$2:$G$151)*(ABS(PriceMetrics!$G$2:$G$151)&lt;ABS(PriceMetrics!G90)))/MAX(1,SUMPRODUCT(($B$2:$B$151=TRUE())*ISNUMBER(PriceMetrics!$G$2:$G$151)))))))</f>
        <v>50</v>
      </c>
      <c r="K90" s="5" t="n">
        <f aca="false">AVERAGE(H90:J90)</f>
        <v>50</v>
      </c>
      <c r="L90" s="8" t="n">
        <f aca="false">Macro!$B$26</f>
        <v>53.5</v>
      </c>
      <c r="M90" s="5" t="n">
        <f aca="false">Control!$B$3*100*G90/100+Control!$B$4*K90+Control!$B$5*L90</f>
        <v>50.7</v>
      </c>
      <c r="N90" s="3" t="n">
        <f aca="false">M90+ROW()/1000000</f>
        <v>50.70009</v>
      </c>
      <c r="O90" s="5" t="n">
        <f aca="false">M90-IF(AND(Tickers!D90="SMALLCAP100",Macro!$B$26&lt;40),Control!$B$11,0)</f>
        <v>50.7</v>
      </c>
      <c r="P90" s="3" t="str">
        <f aca="false">IF(B90=FALSE(),"-",IF(O90&gt;=Control!$B$7,"BUY",IF(O90&gt;=Control!$B$8,"ACCUMULATE",IF(O90&gt;=Control!$B$9,"HOLD","AVOID"))))</f>
        <v>-</v>
      </c>
      <c r="Q90" s="3" t="str">
        <f aca="false">IF(B90=FALSE(),"",IF(OR(O90&gt;=72,O90&lt;=32),"High",IF(OR(O90&gt;=62,O90&lt;=42),"Medium","Low")))</f>
        <v/>
      </c>
      <c r="R90" s="12" t="n">
        <f aca="false">IF(P90="BUY",Control!$B$12,IF(P90="ACCUMULATE",Control!$B$13,0))</f>
        <v>0</v>
      </c>
      <c r="S90" s="3" t="str">
        <f aca="false">IF(B90=FALSE(),"",IF(T90=C90,"Rich valuation",IF(T90=E90,"Weak growth",IF(T90=F90,"Balance-sheet leverage",IF(T90=I90,"Negative momentum","High volatility/drawdown")))))</f>
        <v/>
      </c>
      <c r="T90" s="3" t="n">
        <f aca="false">MIN(C90,E90,F90,I90,J90)</f>
        <v>50</v>
      </c>
      <c r="U90" s="3" t="n">
        <f aca="false">IF(B90=TRUE(),N90,-1000+ROW()/1000000)</f>
        <v>-999.99991</v>
      </c>
    </row>
    <row r="91" customFormat="false" ht="15" hidden="false" customHeight="false" outlineLevel="0" collapsed="false">
      <c r="A91" s="7" t="str">
        <f aca="false">Tickers!A91</f>
        <v>GPIL</v>
      </c>
      <c r="B91" s="19" t="b">
        <f aca="false">Tickers!F91</f>
        <v>0</v>
      </c>
      <c r="C91" s="5" t="n">
        <f aca="false">AVERAGE(IF(NOT(ISNUMBER(Fundamentals!C91)),50,IF(Fundamentals!C91&lt;=0,15,100*(1-(SUMPRODUCT(($B$2:$B$151=TRUE())*ISNUMBER(Fundamentals!$C$2:$C$151)*(Fundamentals!$C$2:$C$151&gt;0)*(Fundamentals!$C$2:$C$151&lt;Fundamentals!C91))/MAX(1,SUMPRODUCT(($B$2:$B$151=TRUE())*ISNUMBER(Fundamentals!$C$2:$C$151)*(Fundamentals!$C$2:$C$151&gt;0))))))),IF(NOT(ISNUMBER(Fundamentals!E91)),50,IF(Fundamentals!E91&lt;=0,15,100*(1-(SUMPRODUCT(($B$2:$B$151=TRUE())*ISNUMBER(Fundamentals!$E$2:$E$151)*(Fundamentals!$E$2:$E$151&gt;0)*(Fundamentals!$E$2:$E$151&lt;Fundamentals!E91))/MAX(1,SUMPRODUCT(($B$2:$B$151=TRUE())*ISNUMBER(Fundamentals!$E$2:$E$151)*(Fundamentals!$E$2:$E$151&gt;0))))))))</f>
        <v>50</v>
      </c>
      <c r="D91" s="5" t="n">
        <f aca="false">AVERAGE(IF(NOT(ISNUMBER(Fundamentals!F91)),50,100*(SUMPRODUCT(($B$2:$B$151=TRUE())*ISNUMBER(Fundamentals!$F$2:$F$151)*(Fundamentals!$F$2:$F$151&lt;Fundamentals!F91))/MAX(1,SUMPRODUCT(($B$2:$B$151=TRUE())*ISNUMBER(Fundamentals!$F$2:$F$151))))),IF(NOT(ISNUMBER(Fundamentals!J91)),50,100*(SUMPRODUCT(($B$2:$B$151=TRUE())*ISNUMBER(Fundamentals!$J$2:$J$151)*(Fundamentals!$J$2:$J$151&lt;Fundamentals!J91))/MAX(1,SUMPRODUCT(($B$2:$B$151=TRUE())*ISNUMBER(Fundamentals!$J$2:$J$151))))))</f>
        <v>50</v>
      </c>
      <c r="E91" s="5" t="n">
        <f aca="false">AVERAGE(IF(NOT(ISNUMBER(Fundamentals!H91)),50,100*(SUMPRODUCT(($B$2:$B$151=TRUE())*ISNUMBER(Fundamentals!$H$2:$H$151)*(Fundamentals!$H$2:$H$151&lt;Fundamentals!H91))/MAX(1,SUMPRODUCT(($B$2:$B$151=TRUE())*ISNUMBER(Fundamentals!$H$2:$H$151))))),IF(NOT(ISNUMBER(Fundamentals!I91)),50,100*(SUMPRODUCT(($B$2:$B$151=TRUE())*ISNUMBER(Fundamentals!$I$2:$I$151)*(Fundamentals!$I$2:$I$151&lt;Fundamentals!I91))/MAX(1,SUMPRODUCT(($B$2:$B$151=TRUE())*ISNUMBER(Fundamentals!$I$2:$I$151))))))</f>
        <v>50</v>
      </c>
      <c r="F91" s="5" t="n">
        <f aca="false">IF(Tickers!C91="Financial Services",50,IF(NOT(ISNUMBER(Fundamentals!G91)),50,100*(1-(SUMPRODUCT(($B$2:$B$151=TRUE())*ISNUMBER(Fundamentals!$G$2:$G$151)*(Fundamentals!$G$2:$G$151&lt;Fundamentals!G91))/MAX(1,SUMPRODUCT(($B$2:$B$151=TRUE())*ISNUMBER(Fundamentals!$G$2:$G$151)))))))</f>
        <v>50</v>
      </c>
      <c r="G91" s="5" t="n">
        <f aca="false">AVERAGE(C91:F91)</f>
        <v>50</v>
      </c>
      <c r="H91" s="5" t="n">
        <f aca="false">MIN(100,MAX(0,IF(NOT(ISNUMBER(PriceMetrics!K91)),50,100*(SUMPRODUCT(($B$2:$B$151=TRUE())*ISNUMBER(PriceMetrics!$K$2:$K$151)*(PriceMetrics!$K$2:$K$151&lt;PriceMetrics!K91))/MAX(1,SUMPRODUCT(($B$2:$B$151=TRUE())*ISNUMBER(PriceMetrics!$K$2:$K$151)))))+IF(ISNUMBER(PriceMetrics!L91),10*PriceMetrics!L91,0)))</f>
        <v>50</v>
      </c>
      <c r="I91" s="5" t="n">
        <f aca="false">0.6*IF(NOT(ISNUMBER(PriceMetrics!P91)),50,100*(SUMPRODUCT(($B$2:$B$151=TRUE())*ISNUMBER(PriceMetrics!$P$2:$P$151)*(PriceMetrics!$P$2:$P$151&lt;PriceMetrics!P91))/MAX(1,SUMPRODUCT(($B$2:$B$151=TRUE())*ISNUMBER(PriceMetrics!$P$2:$P$151)))))+0.4*IF(NOT(ISNUMBER(PriceMetrics!H91)),50,IF(PriceMetrics!H91&gt;70,40,IF(PriceMetrics!H91&gt;=50,100,IF(PriceMetrics!H91&gt;=35,60,30))))</f>
        <v>50</v>
      </c>
      <c r="J91" s="5" t="n">
        <f aca="false">AVERAGE(IF(NOT(ISNUMBER(PriceMetrics!F91)),50,100*(1-(SUMPRODUCT(($B$2:$B$151=TRUE())*ISNUMBER(PriceMetrics!$F$2:$F$151)*(PriceMetrics!$F$2:$F$151&lt;PriceMetrics!F91))/MAX(1,SUMPRODUCT(($B$2:$B$151=TRUE())*ISNUMBER(PriceMetrics!$F$2:$F$151)))))),IF(NOT(ISNUMBER(PriceMetrics!G91)),50,100*(1-(SUMPRODUCT(($B$2:$B$151=TRUE())*ISNUMBER(PriceMetrics!$G$2:$G$151)*(ABS(PriceMetrics!$G$2:$G$151)&lt;ABS(PriceMetrics!G91)))/MAX(1,SUMPRODUCT(($B$2:$B$151=TRUE())*ISNUMBER(PriceMetrics!$G$2:$G$151)))))))</f>
        <v>50</v>
      </c>
      <c r="K91" s="5" t="n">
        <f aca="false">AVERAGE(H91:J91)</f>
        <v>50</v>
      </c>
      <c r="L91" s="8" t="n">
        <f aca="false">Macro!$B$26</f>
        <v>53.5</v>
      </c>
      <c r="M91" s="5" t="n">
        <f aca="false">Control!$B$3*100*G91/100+Control!$B$4*K91+Control!$B$5*L91</f>
        <v>50.7</v>
      </c>
      <c r="N91" s="3" t="n">
        <f aca="false">M91+ROW()/1000000</f>
        <v>50.700091</v>
      </c>
      <c r="O91" s="5" t="n">
        <f aca="false">M91-IF(AND(Tickers!D91="SMALLCAP100",Macro!$B$26&lt;40),Control!$B$11,0)</f>
        <v>50.7</v>
      </c>
      <c r="P91" s="3" t="str">
        <f aca="false">IF(B91=FALSE(),"-",IF(O91&gt;=Control!$B$7,"BUY",IF(O91&gt;=Control!$B$8,"ACCUMULATE",IF(O91&gt;=Control!$B$9,"HOLD","AVOID"))))</f>
        <v>-</v>
      </c>
      <c r="Q91" s="3" t="str">
        <f aca="false">IF(B91=FALSE(),"",IF(OR(O91&gt;=72,O91&lt;=32),"High",IF(OR(O91&gt;=62,O91&lt;=42),"Medium","Low")))</f>
        <v/>
      </c>
      <c r="R91" s="12" t="n">
        <f aca="false">IF(P91="BUY",Control!$B$12,IF(P91="ACCUMULATE",Control!$B$13,0))</f>
        <v>0</v>
      </c>
      <c r="S91" s="3" t="str">
        <f aca="false">IF(B91=FALSE(),"",IF(T91=C91,"Rich valuation",IF(T91=E91,"Weak growth",IF(T91=F91,"Balance-sheet leverage",IF(T91=I91,"Negative momentum","High volatility/drawdown")))))</f>
        <v/>
      </c>
      <c r="T91" s="3" t="n">
        <f aca="false">MIN(C91,E91,F91,I91,J91)</f>
        <v>50</v>
      </c>
      <c r="U91" s="3" t="n">
        <f aca="false">IF(B91=TRUE(),N91,-1000+ROW()/1000000)</f>
        <v>-999.999909</v>
      </c>
    </row>
    <row r="92" customFormat="false" ht="15" hidden="false" customHeight="false" outlineLevel="0" collapsed="false">
      <c r="A92" s="7" t="str">
        <f aca="false">Tickers!A92</f>
        <v>GESHIP</v>
      </c>
      <c r="B92" s="19" t="b">
        <f aca="false">Tickers!F92</f>
        <v>0</v>
      </c>
      <c r="C92" s="5" t="n">
        <f aca="false">AVERAGE(IF(NOT(ISNUMBER(Fundamentals!C92)),50,IF(Fundamentals!C92&lt;=0,15,100*(1-(SUMPRODUCT(($B$2:$B$151=TRUE())*ISNUMBER(Fundamentals!$C$2:$C$151)*(Fundamentals!$C$2:$C$151&gt;0)*(Fundamentals!$C$2:$C$151&lt;Fundamentals!C92))/MAX(1,SUMPRODUCT(($B$2:$B$151=TRUE())*ISNUMBER(Fundamentals!$C$2:$C$151)*(Fundamentals!$C$2:$C$151&gt;0))))))),IF(NOT(ISNUMBER(Fundamentals!E92)),50,IF(Fundamentals!E92&lt;=0,15,100*(1-(SUMPRODUCT(($B$2:$B$151=TRUE())*ISNUMBER(Fundamentals!$E$2:$E$151)*(Fundamentals!$E$2:$E$151&gt;0)*(Fundamentals!$E$2:$E$151&lt;Fundamentals!E92))/MAX(1,SUMPRODUCT(($B$2:$B$151=TRUE())*ISNUMBER(Fundamentals!$E$2:$E$151)*(Fundamentals!$E$2:$E$151&gt;0))))))))</f>
        <v>50</v>
      </c>
      <c r="D92" s="5" t="n">
        <f aca="false">AVERAGE(IF(NOT(ISNUMBER(Fundamentals!F92)),50,100*(SUMPRODUCT(($B$2:$B$151=TRUE())*ISNUMBER(Fundamentals!$F$2:$F$151)*(Fundamentals!$F$2:$F$151&lt;Fundamentals!F92))/MAX(1,SUMPRODUCT(($B$2:$B$151=TRUE())*ISNUMBER(Fundamentals!$F$2:$F$151))))),IF(NOT(ISNUMBER(Fundamentals!J92)),50,100*(SUMPRODUCT(($B$2:$B$151=TRUE())*ISNUMBER(Fundamentals!$J$2:$J$151)*(Fundamentals!$J$2:$J$151&lt;Fundamentals!J92))/MAX(1,SUMPRODUCT(($B$2:$B$151=TRUE())*ISNUMBER(Fundamentals!$J$2:$J$151))))))</f>
        <v>50</v>
      </c>
      <c r="E92" s="5" t="n">
        <f aca="false">AVERAGE(IF(NOT(ISNUMBER(Fundamentals!H92)),50,100*(SUMPRODUCT(($B$2:$B$151=TRUE())*ISNUMBER(Fundamentals!$H$2:$H$151)*(Fundamentals!$H$2:$H$151&lt;Fundamentals!H92))/MAX(1,SUMPRODUCT(($B$2:$B$151=TRUE())*ISNUMBER(Fundamentals!$H$2:$H$151))))),IF(NOT(ISNUMBER(Fundamentals!I92)),50,100*(SUMPRODUCT(($B$2:$B$151=TRUE())*ISNUMBER(Fundamentals!$I$2:$I$151)*(Fundamentals!$I$2:$I$151&lt;Fundamentals!I92))/MAX(1,SUMPRODUCT(($B$2:$B$151=TRUE())*ISNUMBER(Fundamentals!$I$2:$I$151))))))</f>
        <v>50</v>
      </c>
      <c r="F92" s="5" t="n">
        <f aca="false">IF(Tickers!C92="Financial Services",50,IF(NOT(ISNUMBER(Fundamentals!G92)),50,100*(1-(SUMPRODUCT(($B$2:$B$151=TRUE())*ISNUMBER(Fundamentals!$G$2:$G$151)*(Fundamentals!$G$2:$G$151&lt;Fundamentals!G92))/MAX(1,SUMPRODUCT(($B$2:$B$151=TRUE())*ISNUMBER(Fundamentals!$G$2:$G$151)))))))</f>
        <v>50</v>
      </c>
      <c r="G92" s="5" t="n">
        <f aca="false">AVERAGE(C92:F92)</f>
        <v>50</v>
      </c>
      <c r="H92" s="5" t="n">
        <f aca="false">MIN(100,MAX(0,IF(NOT(ISNUMBER(PriceMetrics!K92)),50,100*(SUMPRODUCT(($B$2:$B$151=TRUE())*ISNUMBER(PriceMetrics!$K$2:$K$151)*(PriceMetrics!$K$2:$K$151&lt;PriceMetrics!K92))/MAX(1,SUMPRODUCT(($B$2:$B$151=TRUE())*ISNUMBER(PriceMetrics!$K$2:$K$151)))))+IF(ISNUMBER(PriceMetrics!L92),10*PriceMetrics!L92,0)))</f>
        <v>50</v>
      </c>
      <c r="I92" s="5" t="n">
        <f aca="false">0.6*IF(NOT(ISNUMBER(PriceMetrics!P92)),50,100*(SUMPRODUCT(($B$2:$B$151=TRUE())*ISNUMBER(PriceMetrics!$P$2:$P$151)*(PriceMetrics!$P$2:$P$151&lt;PriceMetrics!P92))/MAX(1,SUMPRODUCT(($B$2:$B$151=TRUE())*ISNUMBER(PriceMetrics!$P$2:$P$151)))))+0.4*IF(NOT(ISNUMBER(PriceMetrics!H92)),50,IF(PriceMetrics!H92&gt;70,40,IF(PriceMetrics!H92&gt;=50,100,IF(PriceMetrics!H92&gt;=35,60,30))))</f>
        <v>50</v>
      </c>
      <c r="J92" s="5" t="n">
        <f aca="false">AVERAGE(IF(NOT(ISNUMBER(PriceMetrics!F92)),50,100*(1-(SUMPRODUCT(($B$2:$B$151=TRUE())*ISNUMBER(PriceMetrics!$F$2:$F$151)*(PriceMetrics!$F$2:$F$151&lt;PriceMetrics!F92))/MAX(1,SUMPRODUCT(($B$2:$B$151=TRUE())*ISNUMBER(PriceMetrics!$F$2:$F$151)))))),IF(NOT(ISNUMBER(PriceMetrics!G92)),50,100*(1-(SUMPRODUCT(($B$2:$B$151=TRUE())*ISNUMBER(PriceMetrics!$G$2:$G$151)*(ABS(PriceMetrics!$G$2:$G$151)&lt;ABS(PriceMetrics!G92)))/MAX(1,SUMPRODUCT(($B$2:$B$151=TRUE())*ISNUMBER(PriceMetrics!$G$2:$G$151)))))))</f>
        <v>50</v>
      </c>
      <c r="K92" s="5" t="n">
        <f aca="false">AVERAGE(H92:J92)</f>
        <v>50</v>
      </c>
      <c r="L92" s="8" t="n">
        <f aca="false">Macro!$B$26</f>
        <v>53.5</v>
      </c>
      <c r="M92" s="5" t="n">
        <f aca="false">Control!$B$3*100*G92/100+Control!$B$4*K92+Control!$B$5*L92</f>
        <v>50.7</v>
      </c>
      <c r="N92" s="3" t="n">
        <f aca="false">M92+ROW()/1000000</f>
        <v>50.700092</v>
      </c>
      <c r="O92" s="5" t="n">
        <f aca="false">M92-IF(AND(Tickers!D92="SMALLCAP100",Macro!$B$26&lt;40),Control!$B$11,0)</f>
        <v>50.7</v>
      </c>
      <c r="P92" s="3" t="str">
        <f aca="false">IF(B92=FALSE(),"-",IF(O92&gt;=Control!$B$7,"BUY",IF(O92&gt;=Control!$B$8,"ACCUMULATE",IF(O92&gt;=Control!$B$9,"HOLD","AVOID"))))</f>
        <v>-</v>
      </c>
      <c r="Q92" s="3" t="str">
        <f aca="false">IF(B92=FALSE(),"",IF(OR(O92&gt;=72,O92&lt;=32),"High",IF(OR(O92&gt;=62,O92&lt;=42),"Medium","Low")))</f>
        <v/>
      </c>
      <c r="R92" s="12" t="n">
        <f aca="false">IF(P92="BUY",Control!$B$12,IF(P92="ACCUMULATE",Control!$B$13,0))</f>
        <v>0</v>
      </c>
      <c r="S92" s="3" t="str">
        <f aca="false">IF(B92=FALSE(),"",IF(T92=C92,"Rich valuation",IF(T92=E92,"Weak growth",IF(T92=F92,"Balance-sheet leverage",IF(T92=I92,"Negative momentum","High volatility/drawdown")))))</f>
        <v/>
      </c>
      <c r="T92" s="3" t="n">
        <f aca="false">MIN(C92,E92,F92,I92,J92)</f>
        <v>50</v>
      </c>
      <c r="U92" s="3" t="n">
        <f aca="false">IF(B92=TRUE(),N92,-1000+ROW()/1000000)</f>
        <v>-999.999908</v>
      </c>
    </row>
    <row r="93" customFormat="false" ht="15" hidden="false" customHeight="false" outlineLevel="0" collapsed="false">
      <c r="A93" s="7" t="str">
        <f aca="false">Tickers!A93</f>
        <v>GMDCLTD</v>
      </c>
      <c r="B93" s="19" t="b">
        <f aca="false">Tickers!F93</f>
        <v>0</v>
      </c>
      <c r="C93" s="5" t="n">
        <f aca="false">AVERAGE(IF(NOT(ISNUMBER(Fundamentals!C93)),50,IF(Fundamentals!C93&lt;=0,15,100*(1-(SUMPRODUCT(($B$2:$B$151=TRUE())*ISNUMBER(Fundamentals!$C$2:$C$151)*(Fundamentals!$C$2:$C$151&gt;0)*(Fundamentals!$C$2:$C$151&lt;Fundamentals!C93))/MAX(1,SUMPRODUCT(($B$2:$B$151=TRUE())*ISNUMBER(Fundamentals!$C$2:$C$151)*(Fundamentals!$C$2:$C$151&gt;0))))))),IF(NOT(ISNUMBER(Fundamentals!E93)),50,IF(Fundamentals!E93&lt;=0,15,100*(1-(SUMPRODUCT(($B$2:$B$151=TRUE())*ISNUMBER(Fundamentals!$E$2:$E$151)*(Fundamentals!$E$2:$E$151&gt;0)*(Fundamentals!$E$2:$E$151&lt;Fundamentals!E93))/MAX(1,SUMPRODUCT(($B$2:$B$151=TRUE())*ISNUMBER(Fundamentals!$E$2:$E$151)*(Fundamentals!$E$2:$E$151&gt;0))))))))</f>
        <v>50</v>
      </c>
      <c r="D93" s="5" t="n">
        <f aca="false">AVERAGE(IF(NOT(ISNUMBER(Fundamentals!F93)),50,100*(SUMPRODUCT(($B$2:$B$151=TRUE())*ISNUMBER(Fundamentals!$F$2:$F$151)*(Fundamentals!$F$2:$F$151&lt;Fundamentals!F93))/MAX(1,SUMPRODUCT(($B$2:$B$151=TRUE())*ISNUMBER(Fundamentals!$F$2:$F$151))))),IF(NOT(ISNUMBER(Fundamentals!J93)),50,100*(SUMPRODUCT(($B$2:$B$151=TRUE())*ISNUMBER(Fundamentals!$J$2:$J$151)*(Fundamentals!$J$2:$J$151&lt;Fundamentals!J93))/MAX(1,SUMPRODUCT(($B$2:$B$151=TRUE())*ISNUMBER(Fundamentals!$J$2:$J$151))))))</f>
        <v>50</v>
      </c>
      <c r="E93" s="5" t="n">
        <f aca="false">AVERAGE(IF(NOT(ISNUMBER(Fundamentals!H93)),50,100*(SUMPRODUCT(($B$2:$B$151=TRUE())*ISNUMBER(Fundamentals!$H$2:$H$151)*(Fundamentals!$H$2:$H$151&lt;Fundamentals!H93))/MAX(1,SUMPRODUCT(($B$2:$B$151=TRUE())*ISNUMBER(Fundamentals!$H$2:$H$151))))),IF(NOT(ISNUMBER(Fundamentals!I93)),50,100*(SUMPRODUCT(($B$2:$B$151=TRUE())*ISNUMBER(Fundamentals!$I$2:$I$151)*(Fundamentals!$I$2:$I$151&lt;Fundamentals!I93))/MAX(1,SUMPRODUCT(($B$2:$B$151=TRUE())*ISNUMBER(Fundamentals!$I$2:$I$151))))))</f>
        <v>50</v>
      </c>
      <c r="F93" s="5" t="n">
        <f aca="false">IF(Tickers!C93="Financial Services",50,IF(NOT(ISNUMBER(Fundamentals!G93)),50,100*(1-(SUMPRODUCT(($B$2:$B$151=TRUE())*ISNUMBER(Fundamentals!$G$2:$G$151)*(Fundamentals!$G$2:$G$151&lt;Fundamentals!G93))/MAX(1,SUMPRODUCT(($B$2:$B$151=TRUE())*ISNUMBER(Fundamentals!$G$2:$G$151)))))))</f>
        <v>50</v>
      </c>
      <c r="G93" s="5" t="n">
        <f aca="false">AVERAGE(C93:F93)</f>
        <v>50</v>
      </c>
      <c r="H93" s="5" t="n">
        <f aca="false">MIN(100,MAX(0,IF(NOT(ISNUMBER(PriceMetrics!K93)),50,100*(SUMPRODUCT(($B$2:$B$151=TRUE())*ISNUMBER(PriceMetrics!$K$2:$K$151)*(PriceMetrics!$K$2:$K$151&lt;PriceMetrics!K93))/MAX(1,SUMPRODUCT(($B$2:$B$151=TRUE())*ISNUMBER(PriceMetrics!$K$2:$K$151)))))+IF(ISNUMBER(PriceMetrics!L93),10*PriceMetrics!L93,0)))</f>
        <v>50</v>
      </c>
      <c r="I93" s="5" t="n">
        <f aca="false">0.6*IF(NOT(ISNUMBER(PriceMetrics!P93)),50,100*(SUMPRODUCT(($B$2:$B$151=TRUE())*ISNUMBER(PriceMetrics!$P$2:$P$151)*(PriceMetrics!$P$2:$P$151&lt;PriceMetrics!P93))/MAX(1,SUMPRODUCT(($B$2:$B$151=TRUE())*ISNUMBER(PriceMetrics!$P$2:$P$151)))))+0.4*IF(NOT(ISNUMBER(PriceMetrics!H93)),50,IF(PriceMetrics!H93&gt;70,40,IF(PriceMetrics!H93&gt;=50,100,IF(PriceMetrics!H93&gt;=35,60,30))))</f>
        <v>50</v>
      </c>
      <c r="J93" s="5" t="n">
        <f aca="false">AVERAGE(IF(NOT(ISNUMBER(PriceMetrics!F93)),50,100*(1-(SUMPRODUCT(($B$2:$B$151=TRUE())*ISNUMBER(PriceMetrics!$F$2:$F$151)*(PriceMetrics!$F$2:$F$151&lt;PriceMetrics!F93))/MAX(1,SUMPRODUCT(($B$2:$B$151=TRUE())*ISNUMBER(PriceMetrics!$F$2:$F$151)))))),IF(NOT(ISNUMBER(PriceMetrics!G93)),50,100*(1-(SUMPRODUCT(($B$2:$B$151=TRUE())*ISNUMBER(PriceMetrics!$G$2:$G$151)*(ABS(PriceMetrics!$G$2:$G$151)&lt;ABS(PriceMetrics!G93)))/MAX(1,SUMPRODUCT(($B$2:$B$151=TRUE())*ISNUMBER(PriceMetrics!$G$2:$G$151)))))))</f>
        <v>50</v>
      </c>
      <c r="K93" s="5" t="n">
        <f aca="false">AVERAGE(H93:J93)</f>
        <v>50</v>
      </c>
      <c r="L93" s="8" t="n">
        <f aca="false">Macro!$B$26</f>
        <v>53.5</v>
      </c>
      <c r="M93" s="5" t="n">
        <f aca="false">Control!$B$3*100*G93/100+Control!$B$4*K93+Control!$B$5*L93</f>
        <v>50.7</v>
      </c>
      <c r="N93" s="3" t="n">
        <f aca="false">M93+ROW()/1000000</f>
        <v>50.700093</v>
      </c>
      <c r="O93" s="5" t="n">
        <f aca="false">M93-IF(AND(Tickers!D93="SMALLCAP100",Macro!$B$26&lt;40),Control!$B$11,0)</f>
        <v>50.7</v>
      </c>
      <c r="P93" s="3" t="str">
        <f aca="false">IF(B93=FALSE(),"-",IF(O93&gt;=Control!$B$7,"BUY",IF(O93&gt;=Control!$B$8,"ACCUMULATE",IF(O93&gt;=Control!$B$9,"HOLD","AVOID"))))</f>
        <v>-</v>
      </c>
      <c r="Q93" s="3" t="str">
        <f aca="false">IF(B93=FALSE(),"",IF(OR(O93&gt;=72,O93&lt;=32),"High",IF(OR(O93&gt;=62,O93&lt;=42),"Medium","Low")))</f>
        <v/>
      </c>
      <c r="R93" s="12" t="n">
        <f aca="false">IF(P93="BUY",Control!$B$12,IF(P93="ACCUMULATE",Control!$B$13,0))</f>
        <v>0</v>
      </c>
      <c r="S93" s="3" t="str">
        <f aca="false">IF(B93=FALSE(),"",IF(T93=C93,"Rich valuation",IF(T93=E93,"Weak growth",IF(T93=F93,"Balance-sheet leverage",IF(T93=I93,"Negative momentum","High volatility/drawdown")))))</f>
        <v/>
      </c>
      <c r="T93" s="3" t="n">
        <f aca="false">MIN(C93,E93,F93,I93,J93)</f>
        <v>50</v>
      </c>
      <c r="U93" s="3" t="n">
        <f aca="false">IF(B93=TRUE(),N93,-1000+ROW()/1000000)</f>
        <v>-999.999907</v>
      </c>
    </row>
    <row r="94" customFormat="false" ht="15" hidden="false" customHeight="false" outlineLevel="0" collapsed="false">
      <c r="A94" s="7" t="str">
        <f aca="false">Tickers!A94</f>
        <v>HBLENGINE</v>
      </c>
      <c r="B94" s="19" t="b">
        <f aca="false">Tickers!F94</f>
        <v>0</v>
      </c>
      <c r="C94" s="5" t="n">
        <f aca="false">AVERAGE(IF(NOT(ISNUMBER(Fundamentals!C94)),50,IF(Fundamentals!C94&lt;=0,15,100*(1-(SUMPRODUCT(($B$2:$B$151=TRUE())*ISNUMBER(Fundamentals!$C$2:$C$151)*(Fundamentals!$C$2:$C$151&gt;0)*(Fundamentals!$C$2:$C$151&lt;Fundamentals!C94))/MAX(1,SUMPRODUCT(($B$2:$B$151=TRUE())*ISNUMBER(Fundamentals!$C$2:$C$151)*(Fundamentals!$C$2:$C$151&gt;0))))))),IF(NOT(ISNUMBER(Fundamentals!E94)),50,IF(Fundamentals!E94&lt;=0,15,100*(1-(SUMPRODUCT(($B$2:$B$151=TRUE())*ISNUMBER(Fundamentals!$E$2:$E$151)*(Fundamentals!$E$2:$E$151&gt;0)*(Fundamentals!$E$2:$E$151&lt;Fundamentals!E94))/MAX(1,SUMPRODUCT(($B$2:$B$151=TRUE())*ISNUMBER(Fundamentals!$E$2:$E$151)*(Fundamentals!$E$2:$E$151&gt;0))))))))</f>
        <v>50</v>
      </c>
      <c r="D94" s="5" t="n">
        <f aca="false">AVERAGE(IF(NOT(ISNUMBER(Fundamentals!F94)),50,100*(SUMPRODUCT(($B$2:$B$151=TRUE())*ISNUMBER(Fundamentals!$F$2:$F$151)*(Fundamentals!$F$2:$F$151&lt;Fundamentals!F94))/MAX(1,SUMPRODUCT(($B$2:$B$151=TRUE())*ISNUMBER(Fundamentals!$F$2:$F$151))))),IF(NOT(ISNUMBER(Fundamentals!J94)),50,100*(SUMPRODUCT(($B$2:$B$151=TRUE())*ISNUMBER(Fundamentals!$J$2:$J$151)*(Fundamentals!$J$2:$J$151&lt;Fundamentals!J94))/MAX(1,SUMPRODUCT(($B$2:$B$151=TRUE())*ISNUMBER(Fundamentals!$J$2:$J$151))))))</f>
        <v>50</v>
      </c>
      <c r="E94" s="5" t="n">
        <f aca="false">AVERAGE(IF(NOT(ISNUMBER(Fundamentals!H94)),50,100*(SUMPRODUCT(($B$2:$B$151=TRUE())*ISNUMBER(Fundamentals!$H$2:$H$151)*(Fundamentals!$H$2:$H$151&lt;Fundamentals!H94))/MAX(1,SUMPRODUCT(($B$2:$B$151=TRUE())*ISNUMBER(Fundamentals!$H$2:$H$151))))),IF(NOT(ISNUMBER(Fundamentals!I94)),50,100*(SUMPRODUCT(($B$2:$B$151=TRUE())*ISNUMBER(Fundamentals!$I$2:$I$151)*(Fundamentals!$I$2:$I$151&lt;Fundamentals!I94))/MAX(1,SUMPRODUCT(($B$2:$B$151=TRUE())*ISNUMBER(Fundamentals!$I$2:$I$151))))))</f>
        <v>50</v>
      </c>
      <c r="F94" s="5" t="n">
        <f aca="false">IF(Tickers!C94="Financial Services",50,IF(NOT(ISNUMBER(Fundamentals!G94)),50,100*(1-(SUMPRODUCT(($B$2:$B$151=TRUE())*ISNUMBER(Fundamentals!$G$2:$G$151)*(Fundamentals!$G$2:$G$151&lt;Fundamentals!G94))/MAX(1,SUMPRODUCT(($B$2:$B$151=TRUE())*ISNUMBER(Fundamentals!$G$2:$G$151)))))))</f>
        <v>50</v>
      </c>
      <c r="G94" s="5" t="n">
        <f aca="false">AVERAGE(C94:F94)</f>
        <v>50</v>
      </c>
      <c r="H94" s="5" t="n">
        <f aca="false">MIN(100,MAX(0,IF(NOT(ISNUMBER(PriceMetrics!K94)),50,100*(SUMPRODUCT(($B$2:$B$151=TRUE())*ISNUMBER(PriceMetrics!$K$2:$K$151)*(PriceMetrics!$K$2:$K$151&lt;PriceMetrics!K94))/MAX(1,SUMPRODUCT(($B$2:$B$151=TRUE())*ISNUMBER(PriceMetrics!$K$2:$K$151)))))+IF(ISNUMBER(PriceMetrics!L94),10*PriceMetrics!L94,0)))</f>
        <v>50</v>
      </c>
      <c r="I94" s="5" t="n">
        <f aca="false">0.6*IF(NOT(ISNUMBER(PriceMetrics!P94)),50,100*(SUMPRODUCT(($B$2:$B$151=TRUE())*ISNUMBER(PriceMetrics!$P$2:$P$151)*(PriceMetrics!$P$2:$P$151&lt;PriceMetrics!P94))/MAX(1,SUMPRODUCT(($B$2:$B$151=TRUE())*ISNUMBER(PriceMetrics!$P$2:$P$151)))))+0.4*IF(NOT(ISNUMBER(PriceMetrics!H94)),50,IF(PriceMetrics!H94&gt;70,40,IF(PriceMetrics!H94&gt;=50,100,IF(PriceMetrics!H94&gt;=35,60,30))))</f>
        <v>50</v>
      </c>
      <c r="J94" s="5" t="n">
        <f aca="false">AVERAGE(IF(NOT(ISNUMBER(PriceMetrics!F94)),50,100*(1-(SUMPRODUCT(($B$2:$B$151=TRUE())*ISNUMBER(PriceMetrics!$F$2:$F$151)*(PriceMetrics!$F$2:$F$151&lt;PriceMetrics!F94))/MAX(1,SUMPRODUCT(($B$2:$B$151=TRUE())*ISNUMBER(PriceMetrics!$F$2:$F$151)))))),IF(NOT(ISNUMBER(PriceMetrics!G94)),50,100*(1-(SUMPRODUCT(($B$2:$B$151=TRUE())*ISNUMBER(PriceMetrics!$G$2:$G$151)*(ABS(PriceMetrics!$G$2:$G$151)&lt;ABS(PriceMetrics!G94)))/MAX(1,SUMPRODUCT(($B$2:$B$151=TRUE())*ISNUMBER(PriceMetrics!$G$2:$G$151)))))))</f>
        <v>50</v>
      </c>
      <c r="K94" s="5" t="n">
        <f aca="false">AVERAGE(H94:J94)</f>
        <v>50</v>
      </c>
      <c r="L94" s="8" t="n">
        <f aca="false">Macro!$B$26</f>
        <v>53.5</v>
      </c>
      <c r="M94" s="5" t="n">
        <f aca="false">Control!$B$3*100*G94/100+Control!$B$4*K94+Control!$B$5*L94</f>
        <v>50.7</v>
      </c>
      <c r="N94" s="3" t="n">
        <f aca="false">M94+ROW()/1000000</f>
        <v>50.700094</v>
      </c>
      <c r="O94" s="5" t="n">
        <f aca="false">M94-IF(AND(Tickers!D94="SMALLCAP100",Macro!$B$26&lt;40),Control!$B$11,0)</f>
        <v>50.7</v>
      </c>
      <c r="P94" s="3" t="str">
        <f aca="false">IF(B94=FALSE(),"-",IF(O94&gt;=Control!$B$7,"BUY",IF(O94&gt;=Control!$B$8,"ACCUMULATE",IF(O94&gt;=Control!$B$9,"HOLD","AVOID"))))</f>
        <v>-</v>
      </c>
      <c r="Q94" s="3" t="str">
        <f aca="false">IF(B94=FALSE(),"",IF(OR(O94&gt;=72,O94&lt;=32),"High",IF(OR(O94&gt;=62,O94&lt;=42),"Medium","Low")))</f>
        <v/>
      </c>
      <c r="R94" s="12" t="n">
        <f aca="false">IF(P94="BUY",Control!$B$12,IF(P94="ACCUMULATE",Control!$B$13,0))</f>
        <v>0</v>
      </c>
      <c r="S94" s="3" t="str">
        <f aca="false">IF(B94=FALSE(),"",IF(T94=C94,"Rich valuation",IF(T94=E94,"Weak growth",IF(T94=F94,"Balance-sheet leverage",IF(T94=I94,"Negative momentum","High volatility/drawdown")))))</f>
        <v/>
      </c>
      <c r="T94" s="3" t="n">
        <f aca="false">MIN(C94,E94,F94,I94,J94)</f>
        <v>50</v>
      </c>
      <c r="U94" s="3" t="n">
        <f aca="false">IF(B94=TRUE(),N94,-1000+ROW()/1000000)</f>
        <v>-999.999906</v>
      </c>
    </row>
    <row r="95" customFormat="false" ht="15" hidden="false" customHeight="false" outlineLevel="0" collapsed="false">
      <c r="A95" s="7" t="str">
        <f aca="false">Tickers!A95</f>
        <v>HSCL</v>
      </c>
      <c r="B95" s="19" t="b">
        <f aca="false">Tickers!F95</f>
        <v>0</v>
      </c>
      <c r="C95" s="5" t="n">
        <f aca="false">AVERAGE(IF(NOT(ISNUMBER(Fundamentals!C95)),50,IF(Fundamentals!C95&lt;=0,15,100*(1-(SUMPRODUCT(($B$2:$B$151=TRUE())*ISNUMBER(Fundamentals!$C$2:$C$151)*(Fundamentals!$C$2:$C$151&gt;0)*(Fundamentals!$C$2:$C$151&lt;Fundamentals!C95))/MAX(1,SUMPRODUCT(($B$2:$B$151=TRUE())*ISNUMBER(Fundamentals!$C$2:$C$151)*(Fundamentals!$C$2:$C$151&gt;0))))))),IF(NOT(ISNUMBER(Fundamentals!E95)),50,IF(Fundamentals!E95&lt;=0,15,100*(1-(SUMPRODUCT(($B$2:$B$151=TRUE())*ISNUMBER(Fundamentals!$E$2:$E$151)*(Fundamentals!$E$2:$E$151&gt;0)*(Fundamentals!$E$2:$E$151&lt;Fundamentals!E95))/MAX(1,SUMPRODUCT(($B$2:$B$151=TRUE())*ISNUMBER(Fundamentals!$E$2:$E$151)*(Fundamentals!$E$2:$E$151&gt;0))))))))</f>
        <v>50</v>
      </c>
      <c r="D95" s="5" t="n">
        <f aca="false">AVERAGE(IF(NOT(ISNUMBER(Fundamentals!F95)),50,100*(SUMPRODUCT(($B$2:$B$151=TRUE())*ISNUMBER(Fundamentals!$F$2:$F$151)*(Fundamentals!$F$2:$F$151&lt;Fundamentals!F95))/MAX(1,SUMPRODUCT(($B$2:$B$151=TRUE())*ISNUMBER(Fundamentals!$F$2:$F$151))))),IF(NOT(ISNUMBER(Fundamentals!J95)),50,100*(SUMPRODUCT(($B$2:$B$151=TRUE())*ISNUMBER(Fundamentals!$J$2:$J$151)*(Fundamentals!$J$2:$J$151&lt;Fundamentals!J95))/MAX(1,SUMPRODUCT(($B$2:$B$151=TRUE())*ISNUMBER(Fundamentals!$J$2:$J$151))))))</f>
        <v>50</v>
      </c>
      <c r="E95" s="5" t="n">
        <f aca="false">AVERAGE(IF(NOT(ISNUMBER(Fundamentals!H95)),50,100*(SUMPRODUCT(($B$2:$B$151=TRUE())*ISNUMBER(Fundamentals!$H$2:$H$151)*(Fundamentals!$H$2:$H$151&lt;Fundamentals!H95))/MAX(1,SUMPRODUCT(($B$2:$B$151=TRUE())*ISNUMBER(Fundamentals!$H$2:$H$151))))),IF(NOT(ISNUMBER(Fundamentals!I95)),50,100*(SUMPRODUCT(($B$2:$B$151=TRUE())*ISNUMBER(Fundamentals!$I$2:$I$151)*(Fundamentals!$I$2:$I$151&lt;Fundamentals!I95))/MAX(1,SUMPRODUCT(($B$2:$B$151=TRUE())*ISNUMBER(Fundamentals!$I$2:$I$151))))))</f>
        <v>50</v>
      </c>
      <c r="F95" s="5" t="n">
        <f aca="false">IF(Tickers!C95="Financial Services",50,IF(NOT(ISNUMBER(Fundamentals!G95)),50,100*(1-(SUMPRODUCT(($B$2:$B$151=TRUE())*ISNUMBER(Fundamentals!$G$2:$G$151)*(Fundamentals!$G$2:$G$151&lt;Fundamentals!G95))/MAX(1,SUMPRODUCT(($B$2:$B$151=TRUE())*ISNUMBER(Fundamentals!$G$2:$G$151)))))))</f>
        <v>50</v>
      </c>
      <c r="G95" s="5" t="n">
        <f aca="false">AVERAGE(C95:F95)</f>
        <v>50</v>
      </c>
      <c r="H95" s="5" t="n">
        <f aca="false">MIN(100,MAX(0,IF(NOT(ISNUMBER(PriceMetrics!K95)),50,100*(SUMPRODUCT(($B$2:$B$151=TRUE())*ISNUMBER(PriceMetrics!$K$2:$K$151)*(PriceMetrics!$K$2:$K$151&lt;PriceMetrics!K95))/MAX(1,SUMPRODUCT(($B$2:$B$151=TRUE())*ISNUMBER(PriceMetrics!$K$2:$K$151)))))+IF(ISNUMBER(PriceMetrics!L95),10*PriceMetrics!L95,0)))</f>
        <v>50</v>
      </c>
      <c r="I95" s="5" t="n">
        <f aca="false">0.6*IF(NOT(ISNUMBER(PriceMetrics!P95)),50,100*(SUMPRODUCT(($B$2:$B$151=TRUE())*ISNUMBER(PriceMetrics!$P$2:$P$151)*(PriceMetrics!$P$2:$P$151&lt;PriceMetrics!P95))/MAX(1,SUMPRODUCT(($B$2:$B$151=TRUE())*ISNUMBER(PriceMetrics!$P$2:$P$151)))))+0.4*IF(NOT(ISNUMBER(PriceMetrics!H95)),50,IF(PriceMetrics!H95&gt;70,40,IF(PriceMetrics!H95&gt;=50,100,IF(PriceMetrics!H95&gt;=35,60,30))))</f>
        <v>50</v>
      </c>
      <c r="J95" s="5" t="n">
        <f aca="false">AVERAGE(IF(NOT(ISNUMBER(PriceMetrics!F95)),50,100*(1-(SUMPRODUCT(($B$2:$B$151=TRUE())*ISNUMBER(PriceMetrics!$F$2:$F$151)*(PriceMetrics!$F$2:$F$151&lt;PriceMetrics!F95))/MAX(1,SUMPRODUCT(($B$2:$B$151=TRUE())*ISNUMBER(PriceMetrics!$F$2:$F$151)))))),IF(NOT(ISNUMBER(PriceMetrics!G95)),50,100*(1-(SUMPRODUCT(($B$2:$B$151=TRUE())*ISNUMBER(PriceMetrics!$G$2:$G$151)*(ABS(PriceMetrics!$G$2:$G$151)&lt;ABS(PriceMetrics!G95)))/MAX(1,SUMPRODUCT(($B$2:$B$151=TRUE())*ISNUMBER(PriceMetrics!$G$2:$G$151)))))))</f>
        <v>50</v>
      </c>
      <c r="K95" s="5" t="n">
        <f aca="false">AVERAGE(H95:J95)</f>
        <v>50</v>
      </c>
      <c r="L95" s="8" t="n">
        <f aca="false">Macro!$B$26</f>
        <v>53.5</v>
      </c>
      <c r="M95" s="5" t="n">
        <f aca="false">Control!$B$3*100*G95/100+Control!$B$4*K95+Control!$B$5*L95</f>
        <v>50.7</v>
      </c>
      <c r="N95" s="3" t="n">
        <f aca="false">M95+ROW()/1000000</f>
        <v>50.700095</v>
      </c>
      <c r="O95" s="5" t="n">
        <f aca="false">M95-IF(AND(Tickers!D95="SMALLCAP100",Macro!$B$26&lt;40),Control!$B$11,0)</f>
        <v>50.7</v>
      </c>
      <c r="P95" s="3" t="str">
        <f aca="false">IF(B95=FALSE(),"-",IF(O95&gt;=Control!$B$7,"BUY",IF(O95&gt;=Control!$B$8,"ACCUMULATE",IF(O95&gt;=Control!$B$9,"HOLD","AVOID"))))</f>
        <v>-</v>
      </c>
      <c r="Q95" s="3" t="str">
        <f aca="false">IF(B95=FALSE(),"",IF(OR(O95&gt;=72,O95&lt;=32),"High",IF(OR(O95&gt;=62,O95&lt;=42),"Medium","Low")))</f>
        <v/>
      </c>
      <c r="R95" s="12" t="n">
        <f aca="false">IF(P95="BUY",Control!$B$12,IF(P95="ACCUMULATE",Control!$B$13,0))</f>
        <v>0</v>
      </c>
      <c r="S95" s="3" t="str">
        <f aca="false">IF(B95=FALSE(),"",IF(T95=C95,"Rich valuation",IF(T95=E95,"Weak growth",IF(T95=F95,"Balance-sheet leverage",IF(T95=I95,"Negative momentum","High volatility/drawdown")))))</f>
        <v/>
      </c>
      <c r="T95" s="3" t="n">
        <f aca="false">MIN(C95,E95,F95,I95,J95)</f>
        <v>50</v>
      </c>
      <c r="U95" s="3" t="n">
        <f aca="false">IF(B95=TRUE(),N95,-1000+ROW()/1000000)</f>
        <v>-999.999905</v>
      </c>
    </row>
    <row r="96" customFormat="false" ht="15" hidden="false" customHeight="false" outlineLevel="0" collapsed="false">
      <c r="A96" s="7" t="str">
        <f aca="false">Tickers!A96</f>
        <v>HINDCOPPER</v>
      </c>
      <c r="B96" s="19" t="b">
        <f aca="false">Tickers!F96</f>
        <v>0</v>
      </c>
      <c r="C96" s="5" t="n">
        <f aca="false">AVERAGE(IF(NOT(ISNUMBER(Fundamentals!C96)),50,IF(Fundamentals!C96&lt;=0,15,100*(1-(SUMPRODUCT(($B$2:$B$151=TRUE())*ISNUMBER(Fundamentals!$C$2:$C$151)*(Fundamentals!$C$2:$C$151&gt;0)*(Fundamentals!$C$2:$C$151&lt;Fundamentals!C96))/MAX(1,SUMPRODUCT(($B$2:$B$151=TRUE())*ISNUMBER(Fundamentals!$C$2:$C$151)*(Fundamentals!$C$2:$C$151&gt;0))))))),IF(NOT(ISNUMBER(Fundamentals!E96)),50,IF(Fundamentals!E96&lt;=0,15,100*(1-(SUMPRODUCT(($B$2:$B$151=TRUE())*ISNUMBER(Fundamentals!$E$2:$E$151)*(Fundamentals!$E$2:$E$151&gt;0)*(Fundamentals!$E$2:$E$151&lt;Fundamentals!E96))/MAX(1,SUMPRODUCT(($B$2:$B$151=TRUE())*ISNUMBER(Fundamentals!$E$2:$E$151)*(Fundamentals!$E$2:$E$151&gt;0))))))))</f>
        <v>50</v>
      </c>
      <c r="D96" s="5" t="n">
        <f aca="false">AVERAGE(IF(NOT(ISNUMBER(Fundamentals!F96)),50,100*(SUMPRODUCT(($B$2:$B$151=TRUE())*ISNUMBER(Fundamentals!$F$2:$F$151)*(Fundamentals!$F$2:$F$151&lt;Fundamentals!F96))/MAX(1,SUMPRODUCT(($B$2:$B$151=TRUE())*ISNUMBER(Fundamentals!$F$2:$F$151))))),IF(NOT(ISNUMBER(Fundamentals!J96)),50,100*(SUMPRODUCT(($B$2:$B$151=TRUE())*ISNUMBER(Fundamentals!$J$2:$J$151)*(Fundamentals!$J$2:$J$151&lt;Fundamentals!J96))/MAX(1,SUMPRODUCT(($B$2:$B$151=TRUE())*ISNUMBER(Fundamentals!$J$2:$J$151))))))</f>
        <v>50</v>
      </c>
      <c r="E96" s="5" t="n">
        <f aca="false">AVERAGE(IF(NOT(ISNUMBER(Fundamentals!H96)),50,100*(SUMPRODUCT(($B$2:$B$151=TRUE())*ISNUMBER(Fundamentals!$H$2:$H$151)*(Fundamentals!$H$2:$H$151&lt;Fundamentals!H96))/MAX(1,SUMPRODUCT(($B$2:$B$151=TRUE())*ISNUMBER(Fundamentals!$H$2:$H$151))))),IF(NOT(ISNUMBER(Fundamentals!I96)),50,100*(SUMPRODUCT(($B$2:$B$151=TRUE())*ISNUMBER(Fundamentals!$I$2:$I$151)*(Fundamentals!$I$2:$I$151&lt;Fundamentals!I96))/MAX(1,SUMPRODUCT(($B$2:$B$151=TRUE())*ISNUMBER(Fundamentals!$I$2:$I$151))))))</f>
        <v>50</v>
      </c>
      <c r="F96" s="5" t="n">
        <f aca="false">IF(Tickers!C96="Financial Services",50,IF(NOT(ISNUMBER(Fundamentals!G96)),50,100*(1-(SUMPRODUCT(($B$2:$B$151=TRUE())*ISNUMBER(Fundamentals!$G$2:$G$151)*(Fundamentals!$G$2:$G$151&lt;Fundamentals!G96))/MAX(1,SUMPRODUCT(($B$2:$B$151=TRUE())*ISNUMBER(Fundamentals!$G$2:$G$151)))))))</f>
        <v>50</v>
      </c>
      <c r="G96" s="5" t="n">
        <f aca="false">AVERAGE(C96:F96)</f>
        <v>50</v>
      </c>
      <c r="H96" s="5" t="n">
        <f aca="false">MIN(100,MAX(0,IF(NOT(ISNUMBER(PriceMetrics!K96)),50,100*(SUMPRODUCT(($B$2:$B$151=TRUE())*ISNUMBER(PriceMetrics!$K$2:$K$151)*(PriceMetrics!$K$2:$K$151&lt;PriceMetrics!K96))/MAX(1,SUMPRODUCT(($B$2:$B$151=TRUE())*ISNUMBER(PriceMetrics!$K$2:$K$151)))))+IF(ISNUMBER(PriceMetrics!L96),10*PriceMetrics!L96,0)))</f>
        <v>50</v>
      </c>
      <c r="I96" s="5" t="n">
        <f aca="false">0.6*IF(NOT(ISNUMBER(PriceMetrics!P96)),50,100*(SUMPRODUCT(($B$2:$B$151=TRUE())*ISNUMBER(PriceMetrics!$P$2:$P$151)*(PriceMetrics!$P$2:$P$151&lt;PriceMetrics!P96))/MAX(1,SUMPRODUCT(($B$2:$B$151=TRUE())*ISNUMBER(PriceMetrics!$P$2:$P$151)))))+0.4*IF(NOT(ISNUMBER(PriceMetrics!H96)),50,IF(PriceMetrics!H96&gt;70,40,IF(PriceMetrics!H96&gt;=50,100,IF(PriceMetrics!H96&gt;=35,60,30))))</f>
        <v>50</v>
      </c>
      <c r="J96" s="5" t="n">
        <f aca="false">AVERAGE(IF(NOT(ISNUMBER(PriceMetrics!F96)),50,100*(1-(SUMPRODUCT(($B$2:$B$151=TRUE())*ISNUMBER(PriceMetrics!$F$2:$F$151)*(PriceMetrics!$F$2:$F$151&lt;PriceMetrics!F96))/MAX(1,SUMPRODUCT(($B$2:$B$151=TRUE())*ISNUMBER(PriceMetrics!$F$2:$F$151)))))),IF(NOT(ISNUMBER(PriceMetrics!G96)),50,100*(1-(SUMPRODUCT(($B$2:$B$151=TRUE())*ISNUMBER(PriceMetrics!$G$2:$G$151)*(ABS(PriceMetrics!$G$2:$G$151)&lt;ABS(PriceMetrics!G96)))/MAX(1,SUMPRODUCT(($B$2:$B$151=TRUE())*ISNUMBER(PriceMetrics!$G$2:$G$151)))))))</f>
        <v>50</v>
      </c>
      <c r="K96" s="5" t="n">
        <f aca="false">AVERAGE(H96:J96)</f>
        <v>50</v>
      </c>
      <c r="L96" s="8" t="n">
        <f aca="false">Macro!$B$26</f>
        <v>53.5</v>
      </c>
      <c r="M96" s="5" t="n">
        <f aca="false">Control!$B$3*100*G96/100+Control!$B$4*K96+Control!$B$5*L96</f>
        <v>50.7</v>
      </c>
      <c r="N96" s="3" t="n">
        <f aca="false">M96+ROW()/1000000</f>
        <v>50.700096</v>
      </c>
      <c r="O96" s="5" t="n">
        <f aca="false">M96-IF(AND(Tickers!D96="SMALLCAP100",Macro!$B$26&lt;40),Control!$B$11,0)</f>
        <v>50.7</v>
      </c>
      <c r="P96" s="3" t="str">
        <f aca="false">IF(B96=FALSE(),"-",IF(O96&gt;=Control!$B$7,"BUY",IF(O96&gt;=Control!$B$8,"ACCUMULATE",IF(O96&gt;=Control!$B$9,"HOLD","AVOID"))))</f>
        <v>-</v>
      </c>
      <c r="Q96" s="3" t="str">
        <f aca="false">IF(B96=FALSE(),"",IF(OR(O96&gt;=72,O96&lt;=32),"High",IF(OR(O96&gt;=62,O96&lt;=42),"Medium","Low")))</f>
        <v/>
      </c>
      <c r="R96" s="12" t="n">
        <f aca="false">IF(P96="BUY",Control!$B$12,IF(P96="ACCUMULATE",Control!$B$13,0))</f>
        <v>0</v>
      </c>
      <c r="S96" s="3" t="str">
        <f aca="false">IF(B96=FALSE(),"",IF(T96=C96,"Rich valuation",IF(T96=E96,"Weak growth",IF(T96=F96,"Balance-sheet leverage",IF(T96=I96,"Negative momentum","High volatility/drawdown")))))</f>
        <v/>
      </c>
      <c r="T96" s="3" t="n">
        <f aca="false">MIN(C96,E96,F96,I96,J96)</f>
        <v>50</v>
      </c>
      <c r="U96" s="3" t="n">
        <f aca="false">IF(B96=TRUE(),N96,-1000+ROW()/1000000)</f>
        <v>-999.999904</v>
      </c>
    </row>
    <row r="97" customFormat="false" ht="15" hidden="false" customHeight="false" outlineLevel="0" collapsed="false">
      <c r="A97" s="7" t="str">
        <f aca="false">Tickers!A97</f>
        <v>IDBI</v>
      </c>
      <c r="B97" s="19" t="b">
        <f aca="false">Tickers!F97</f>
        <v>0</v>
      </c>
      <c r="C97" s="5" t="n">
        <f aca="false">AVERAGE(IF(NOT(ISNUMBER(Fundamentals!C97)),50,IF(Fundamentals!C97&lt;=0,15,100*(1-(SUMPRODUCT(($B$2:$B$151=TRUE())*ISNUMBER(Fundamentals!$C$2:$C$151)*(Fundamentals!$C$2:$C$151&gt;0)*(Fundamentals!$C$2:$C$151&lt;Fundamentals!C97))/MAX(1,SUMPRODUCT(($B$2:$B$151=TRUE())*ISNUMBER(Fundamentals!$C$2:$C$151)*(Fundamentals!$C$2:$C$151&gt;0))))))),IF(NOT(ISNUMBER(Fundamentals!E97)),50,IF(Fundamentals!E97&lt;=0,15,100*(1-(SUMPRODUCT(($B$2:$B$151=TRUE())*ISNUMBER(Fundamentals!$E$2:$E$151)*(Fundamentals!$E$2:$E$151&gt;0)*(Fundamentals!$E$2:$E$151&lt;Fundamentals!E97))/MAX(1,SUMPRODUCT(($B$2:$B$151=TRUE())*ISNUMBER(Fundamentals!$E$2:$E$151)*(Fundamentals!$E$2:$E$151&gt;0))))))))</f>
        <v>50</v>
      </c>
      <c r="D97" s="5" t="n">
        <f aca="false">AVERAGE(IF(NOT(ISNUMBER(Fundamentals!F97)),50,100*(SUMPRODUCT(($B$2:$B$151=TRUE())*ISNUMBER(Fundamentals!$F$2:$F$151)*(Fundamentals!$F$2:$F$151&lt;Fundamentals!F97))/MAX(1,SUMPRODUCT(($B$2:$B$151=TRUE())*ISNUMBER(Fundamentals!$F$2:$F$151))))),IF(NOT(ISNUMBER(Fundamentals!J97)),50,100*(SUMPRODUCT(($B$2:$B$151=TRUE())*ISNUMBER(Fundamentals!$J$2:$J$151)*(Fundamentals!$J$2:$J$151&lt;Fundamentals!J97))/MAX(1,SUMPRODUCT(($B$2:$B$151=TRUE())*ISNUMBER(Fundamentals!$J$2:$J$151))))))</f>
        <v>50</v>
      </c>
      <c r="E97" s="5" t="n">
        <f aca="false">AVERAGE(IF(NOT(ISNUMBER(Fundamentals!H97)),50,100*(SUMPRODUCT(($B$2:$B$151=TRUE())*ISNUMBER(Fundamentals!$H$2:$H$151)*(Fundamentals!$H$2:$H$151&lt;Fundamentals!H97))/MAX(1,SUMPRODUCT(($B$2:$B$151=TRUE())*ISNUMBER(Fundamentals!$H$2:$H$151))))),IF(NOT(ISNUMBER(Fundamentals!I97)),50,100*(SUMPRODUCT(($B$2:$B$151=TRUE())*ISNUMBER(Fundamentals!$I$2:$I$151)*(Fundamentals!$I$2:$I$151&lt;Fundamentals!I97))/MAX(1,SUMPRODUCT(($B$2:$B$151=TRUE())*ISNUMBER(Fundamentals!$I$2:$I$151))))))</f>
        <v>50</v>
      </c>
      <c r="F97" s="5" t="n">
        <f aca="false">IF(Tickers!C97="Financial Services",50,IF(NOT(ISNUMBER(Fundamentals!G97)),50,100*(1-(SUMPRODUCT(($B$2:$B$151=TRUE())*ISNUMBER(Fundamentals!$G$2:$G$151)*(Fundamentals!$G$2:$G$151&lt;Fundamentals!G97))/MAX(1,SUMPRODUCT(($B$2:$B$151=TRUE())*ISNUMBER(Fundamentals!$G$2:$G$151)))))))</f>
        <v>50</v>
      </c>
      <c r="G97" s="5" t="n">
        <f aca="false">AVERAGE(C97:F97)</f>
        <v>50</v>
      </c>
      <c r="H97" s="5" t="n">
        <f aca="false">MIN(100,MAX(0,IF(NOT(ISNUMBER(PriceMetrics!K97)),50,100*(SUMPRODUCT(($B$2:$B$151=TRUE())*ISNUMBER(PriceMetrics!$K$2:$K$151)*(PriceMetrics!$K$2:$K$151&lt;PriceMetrics!K97))/MAX(1,SUMPRODUCT(($B$2:$B$151=TRUE())*ISNUMBER(PriceMetrics!$K$2:$K$151)))))+IF(ISNUMBER(PriceMetrics!L97),10*PriceMetrics!L97,0)))</f>
        <v>50</v>
      </c>
      <c r="I97" s="5" t="n">
        <f aca="false">0.6*IF(NOT(ISNUMBER(PriceMetrics!P97)),50,100*(SUMPRODUCT(($B$2:$B$151=TRUE())*ISNUMBER(PriceMetrics!$P$2:$P$151)*(PriceMetrics!$P$2:$P$151&lt;PriceMetrics!P97))/MAX(1,SUMPRODUCT(($B$2:$B$151=TRUE())*ISNUMBER(PriceMetrics!$P$2:$P$151)))))+0.4*IF(NOT(ISNUMBER(PriceMetrics!H97)),50,IF(PriceMetrics!H97&gt;70,40,IF(PriceMetrics!H97&gt;=50,100,IF(PriceMetrics!H97&gt;=35,60,30))))</f>
        <v>50</v>
      </c>
      <c r="J97" s="5" t="n">
        <f aca="false">AVERAGE(IF(NOT(ISNUMBER(PriceMetrics!F97)),50,100*(1-(SUMPRODUCT(($B$2:$B$151=TRUE())*ISNUMBER(PriceMetrics!$F$2:$F$151)*(PriceMetrics!$F$2:$F$151&lt;PriceMetrics!F97))/MAX(1,SUMPRODUCT(($B$2:$B$151=TRUE())*ISNUMBER(PriceMetrics!$F$2:$F$151)))))),IF(NOT(ISNUMBER(PriceMetrics!G97)),50,100*(1-(SUMPRODUCT(($B$2:$B$151=TRUE())*ISNUMBER(PriceMetrics!$G$2:$G$151)*(ABS(PriceMetrics!$G$2:$G$151)&lt;ABS(PriceMetrics!G97)))/MAX(1,SUMPRODUCT(($B$2:$B$151=TRUE())*ISNUMBER(PriceMetrics!$G$2:$G$151)))))))</f>
        <v>50</v>
      </c>
      <c r="K97" s="5" t="n">
        <f aca="false">AVERAGE(H97:J97)</f>
        <v>50</v>
      </c>
      <c r="L97" s="8" t="n">
        <f aca="false">Macro!$B$26</f>
        <v>53.5</v>
      </c>
      <c r="M97" s="5" t="n">
        <f aca="false">Control!$B$3*100*G97/100+Control!$B$4*K97+Control!$B$5*L97</f>
        <v>50.7</v>
      </c>
      <c r="N97" s="3" t="n">
        <f aca="false">M97+ROW()/1000000</f>
        <v>50.700097</v>
      </c>
      <c r="O97" s="5" t="n">
        <f aca="false">M97-IF(AND(Tickers!D97="SMALLCAP100",Macro!$B$26&lt;40),Control!$B$11,0)</f>
        <v>50.7</v>
      </c>
      <c r="P97" s="3" t="str">
        <f aca="false">IF(B97=FALSE(),"-",IF(O97&gt;=Control!$B$7,"BUY",IF(O97&gt;=Control!$B$8,"ACCUMULATE",IF(O97&gt;=Control!$B$9,"HOLD","AVOID"))))</f>
        <v>-</v>
      </c>
      <c r="Q97" s="3" t="str">
        <f aca="false">IF(B97=FALSE(),"",IF(OR(O97&gt;=72,O97&lt;=32),"High",IF(OR(O97&gt;=62,O97&lt;=42),"Medium","Low")))</f>
        <v/>
      </c>
      <c r="R97" s="12" t="n">
        <f aca="false">IF(P97="BUY",Control!$B$12,IF(P97="ACCUMULATE",Control!$B$13,0))</f>
        <v>0</v>
      </c>
      <c r="S97" s="3" t="str">
        <f aca="false">IF(B97=FALSE(),"",IF(T97=C97,"Rich valuation",IF(T97=E97,"Weak growth",IF(T97=F97,"Balance-sheet leverage",IF(T97=I97,"Negative momentum","High volatility/drawdown")))))</f>
        <v/>
      </c>
      <c r="T97" s="3" t="n">
        <f aca="false">MIN(C97,E97,F97,I97,J97)</f>
        <v>50</v>
      </c>
      <c r="U97" s="3" t="n">
        <f aca="false">IF(B97=TRUE(),N97,-1000+ROW()/1000000)</f>
        <v>-999.999903</v>
      </c>
    </row>
    <row r="98" customFormat="false" ht="15" hidden="false" customHeight="false" outlineLevel="0" collapsed="false">
      <c r="A98" s="7" t="str">
        <f aca="false">Tickers!A98</f>
        <v>IFCI</v>
      </c>
      <c r="B98" s="19" t="b">
        <f aca="false">Tickers!F98</f>
        <v>0</v>
      </c>
      <c r="C98" s="5" t="n">
        <f aca="false">AVERAGE(IF(NOT(ISNUMBER(Fundamentals!C98)),50,IF(Fundamentals!C98&lt;=0,15,100*(1-(SUMPRODUCT(($B$2:$B$151=TRUE())*ISNUMBER(Fundamentals!$C$2:$C$151)*(Fundamentals!$C$2:$C$151&gt;0)*(Fundamentals!$C$2:$C$151&lt;Fundamentals!C98))/MAX(1,SUMPRODUCT(($B$2:$B$151=TRUE())*ISNUMBER(Fundamentals!$C$2:$C$151)*(Fundamentals!$C$2:$C$151&gt;0))))))),IF(NOT(ISNUMBER(Fundamentals!E98)),50,IF(Fundamentals!E98&lt;=0,15,100*(1-(SUMPRODUCT(($B$2:$B$151=TRUE())*ISNUMBER(Fundamentals!$E$2:$E$151)*(Fundamentals!$E$2:$E$151&gt;0)*(Fundamentals!$E$2:$E$151&lt;Fundamentals!E98))/MAX(1,SUMPRODUCT(($B$2:$B$151=TRUE())*ISNUMBER(Fundamentals!$E$2:$E$151)*(Fundamentals!$E$2:$E$151&gt;0))))))))</f>
        <v>50</v>
      </c>
      <c r="D98" s="5" t="n">
        <f aca="false">AVERAGE(IF(NOT(ISNUMBER(Fundamentals!F98)),50,100*(SUMPRODUCT(($B$2:$B$151=TRUE())*ISNUMBER(Fundamentals!$F$2:$F$151)*(Fundamentals!$F$2:$F$151&lt;Fundamentals!F98))/MAX(1,SUMPRODUCT(($B$2:$B$151=TRUE())*ISNUMBER(Fundamentals!$F$2:$F$151))))),IF(NOT(ISNUMBER(Fundamentals!J98)),50,100*(SUMPRODUCT(($B$2:$B$151=TRUE())*ISNUMBER(Fundamentals!$J$2:$J$151)*(Fundamentals!$J$2:$J$151&lt;Fundamentals!J98))/MAX(1,SUMPRODUCT(($B$2:$B$151=TRUE())*ISNUMBER(Fundamentals!$J$2:$J$151))))))</f>
        <v>50</v>
      </c>
      <c r="E98" s="5" t="n">
        <f aca="false">AVERAGE(IF(NOT(ISNUMBER(Fundamentals!H98)),50,100*(SUMPRODUCT(($B$2:$B$151=TRUE())*ISNUMBER(Fundamentals!$H$2:$H$151)*(Fundamentals!$H$2:$H$151&lt;Fundamentals!H98))/MAX(1,SUMPRODUCT(($B$2:$B$151=TRUE())*ISNUMBER(Fundamentals!$H$2:$H$151))))),IF(NOT(ISNUMBER(Fundamentals!I98)),50,100*(SUMPRODUCT(($B$2:$B$151=TRUE())*ISNUMBER(Fundamentals!$I$2:$I$151)*(Fundamentals!$I$2:$I$151&lt;Fundamentals!I98))/MAX(1,SUMPRODUCT(($B$2:$B$151=TRUE())*ISNUMBER(Fundamentals!$I$2:$I$151))))))</f>
        <v>50</v>
      </c>
      <c r="F98" s="5" t="n">
        <f aca="false">IF(Tickers!C98="Financial Services",50,IF(NOT(ISNUMBER(Fundamentals!G98)),50,100*(1-(SUMPRODUCT(($B$2:$B$151=TRUE())*ISNUMBER(Fundamentals!$G$2:$G$151)*(Fundamentals!$G$2:$G$151&lt;Fundamentals!G98))/MAX(1,SUMPRODUCT(($B$2:$B$151=TRUE())*ISNUMBER(Fundamentals!$G$2:$G$151)))))))</f>
        <v>50</v>
      </c>
      <c r="G98" s="5" t="n">
        <f aca="false">AVERAGE(C98:F98)</f>
        <v>50</v>
      </c>
      <c r="H98" s="5" t="n">
        <f aca="false">MIN(100,MAX(0,IF(NOT(ISNUMBER(PriceMetrics!K98)),50,100*(SUMPRODUCT(($B$2:$B$151=TRUE())*ISNUMBER(PriceMetrics!$K$2:$K$151)*(PriceMetrics!$K$2:$K$151&lt;PriceMetrics!K98))/MAX(1,SUMPRODUCT(($B$2:$B$151=TRUE())*ISNUMBER(PriceMetrics!$K$2:$K$151)))))+IF(ISNUMBER(PriceMetrics!L98),10*PriceMetrics!L98,0)))</f>
        <v>50</v>
      </c>
      <c r="I98" s="5" t="n">
        <f aca="false">0.6*IF(NOT(ISNUMBER(PriceMetrics!P98)),50,100*(SUMPRODUCT(($B$2:$B$151=TRUE())*ISNUMBER(PriceMetrics!$P$2:$P$151)*(PriceMetrics!$P$2:$P$151&lt;PriceMetrics!P98))/MAX(1,SUMPRODUCT(($B$2:$B$151=TRUE())*ISNUMBER(PriceMetrics!$P$2:$P$151)))))+0.4*IF(NOT(ISNUMBER(PriceMetrics!H98)),50,IF(PriceMetrics!H98&gt;70,40,IF(PriceMetrics!H98&gt;=50,100,IF(PriceMetrics!H98&gt;=35,60,30))))</f>
        <v>50</v>
      </c>
      <c r="J98" s="5" t="n">
        <f aca="false">AVERAGE(IF(NOT(ISNUMBER(PriceMetrics!F98)),50,100*(1-(SUMPRODUCT(($B$2:$B$151=TRUE())*ISNUMBER(PriceMetrics!$F$2:$F$151)*(PriceMetrics!$F$2:$F$151&lt;PriceMetrics!F98))/MAX(1,SUMPRODUCT(($B$2:$B$151=TRUE())*ISNUMBER(PriceMetrics!$F$2:$F$151)))))),IF(NOT(ISNUMBER(PriceMetrics!G98)),50,100*(1-(SUMPRODUCT(($B$2:$B$151=TRUE())*ISNUMBER(PriceMetrics!$G$2:$G$151)*(ABS(PriceMetrics!$G$2:$G$151)&lt;ABS(PriceMetrics!G98)))/MAX(1,SUMPRODUCT(($B$2:$B$151=TRUE())*ISNUMBER(PriceMetrics!$G$2:$G$151)))))))</f>
        <v>50</v>
      </c>
      <c r="K98" s="5" t="n">
        <f aca="false">AVERAGE(H98:J98)</f>
        <v>50</v>
      </c>
      <c r="L98" s="8" t="n">
        <f aca="false">Macro!$B$26</f>
        <v>53.5</v>
      </c>
      <c r="M98" s="5" t="n">
        <f aca="false">Control!$B$3*100*G98/100+Control!$B$4*K98+Control!$B$5*L98</f>
        <v>50.7</v>
      </c>
      <c r="N98" s="3" t="n">
        <f aca="false">M98+ROW()/1000000</f>
        <v>50.700098</v>
      </c>
      <c r="O98" s="5" t="n">
        <f aca="false">M98-IF(AND(Tickers!D98="SMALLCAP100",Macro!$B$26&lt;40),Control!$B$11,0)</f>
        <v>50.7</v>
      </c>
      <c r="P98" s="3" t="str">
        <f aca="false">IF(B98=FALSE(),"-",IF(O98&gt;=Control!$B$7,"BUY",IF(O98&gt;=Control!$B$8,"ACCUMULATE",IF(O98&gt;=Control!$B$9,"HOLD","AVOID"))))</f>
        <v>-</v>
      </c>
      <c r="Q98" s="3" t="str">
        <f aca="false">IF(B98=FALSE(),"",IF(OR(O98&gt;=72,O98&lt;=32),"High",IF(OR(O98&gt;=62,O98&lt;=42),"Medium","Low")))</f>
        <v/>
      </c>
      <c r="R98" s="12" t="n">
        <f aca="false">IF(P98="BUY",Control!$B$12,IF(P98="ACCUMULATE",Control!$B$13,0))</f>
        <v>0</v>
      </c>
      <c r="S98" s="3" t="str">
        <f aca="false">IF(B98=FALSE(),"",IF(T98=C98,"Rich valuation",IF(T98=E98,"Weak growth",IF(T98=F98,"Balance-sheet leverage",IF(T98=I98,"Negative momentum","High volatility/drawdown")))))</f>
        <v/>
      </c>
      <c r="T98" s="3" t="n">
        <f aca="false">MIN(C98,E98,F98,I98,J98)</f>
        <v>50</v>
      </c>
      <c r="U98" s="3" t="n">
        <f aca="false">IF(B98=TRUE(),N98,-1000+ROW()/1000000)</f>
        <v>-999.999902</v>
      </c>
    </row>
    <row r="99" customFormat="false" ht="15" hidden="false" customHeight="false" outlineLevel="0" collapsed="false">
      <c r="A99" s="7" t="str">
        <f aca="false">Tickers!A99</f>
        <v>IIFL</v>
      </c>
      <c r="B99" s="19" t="b">
        <f aca="false">Tickers!F99</f>
        <v>0</v>
      </c>
      <c r="C99" s="5" t="n">
        <f aca="false">AVERAGE(IF(NOT(ISNUMBER(Fundamentals!C99)),50,IF(Fundamentals!C99&lt;=0,15,100*(1-(SUMPRODUCT(($B$2:$B$151=TRUE())*ISNUMBER(Fundamentals!$C$2:$C$151)*(Fundamentals!$C$2:$C$151&gt;0)*(Fundamentals!$C$2:$C$151&lt;Fundamentals!C99))/MAX(1,SUMPRODUCT(($B$2:$B$151=TRUE())*ISNUMBER(Fundamentals!$C$2:$C$151)*(Fundamentals!$C$2:$C$151&gt;0))))))),IF(NOT(ISNUMBER(Fundamentals!E99)),50,IF(Fundamentals!E99&lt;=0,15,100*(1-(SUMPRODUCT(($B$2:$B$151=TRUE())*ISNUMBER(Fundamentals!$E$2:$E$151)*(Fundamentals!$E$2:$E$151&gt;0)*(Fundamentals!$E$2:$E$151&lt;Fundamentals!E99))/MAX(1,SUMPRODUCT(($B$2:$B$151=TRUE())*ISNUMBER(Fundamentals!$E$2:$E$151)*(Fundamentals!$E$2:$E$151&gt;0))))))))</f>
        <v>50</v>
      </c>
      <c r="D99" s="5" t="n">
        <f aca="false">AVERAGE(IF(NOT(ISNUMBER(Fundamentals!F99)),50,100*(SUMPRODUCT(($B$2:$B$151=TRUE())*ISNUMBER(Fundamentals!$F$2:$F$151)*(Fundamentals!$F$2:$F$151&lt;Fundamentals!F99))/MAX(1,SUMPRODUCT(($B$2:$B$151=TRUE())*ISNUMBER(Fundamentals!$F$2:$F$151))))),IF(NOT(ISNUMBER(Fundamentals!J99)),50,100*(SUMPRODUCT(($B$2:$B$151=TRUE())*ISNUMBER(Fundamentals!$J$2:$J$151)*(Fundamentals!$J$2:$J$151&lt;Fundamentals!J99))/MAX(1,SUMPRODUCT(($B$2:$B$151=TRUE())*ISNUMBER(Fundamentals!$J$2:$J$151))))))</f>
        <v>50</v>
      </c>
      <c r="E99" s="5" t="n">
        <f aca="false">AVERAGE(IF(NOT(ISNUMBER(Fundamentals!H99)),50,100*(SUMPRODUCT(($B$2:$B$151=TRUE())*ISNUMBER(Fundamentals!$H$2:$H$151)*(Fundamentals!$H$2:$H$151&lt;Fundamentals!H99))/MAX(1,SUMPRODUCT(($B$2:$B$151=TRUE())*ISNUMBER(Fundamentals!$H$2:$H$151))))),IF(NOT(ISNUMBER(Fundamentals!I99)),50,100*(SUMPRODUCT(($B$2:$B$151=TRUE())*ISNUMBER(Fundamentals!$I$2:$I$151)*(Fundamentals!$I$2:$I$151&lt;Fundamentals!I99))/MAX(1,SUMPRODUCT(($B$2:$B$151=TRUE())*ISNUMBER(Fundamentals!$I$2:$I$151))))))</f>
        <v>50</v>
      </c>
      <c r="F99" s="5" t="n">
        <f aca="false">IF(Tickers!C99="Financial Services",50,IF(NOT(ISNUMBER(Fundamentals!G99)),50,100*(1-(SUMPRODUCT(($B$2:$B$151=TRUE())*ISNUMBER(Fundamentals!$G$2:$G$151)*(Fundamentals!$G$2:$G$151&lt;Fundamentals!G99))/MAX(1,SUMPRODUCT(($B$2:$B$151=TRUE())*ISNUMBER(Fundamentals!$G$2:$G$151)))))))</f>
        <v>50</v>
      </c>
      <c r="G99" s="5" t="n">
        <f aca="false">AVERAGE(C99:F99)</f>
        <v>50</v>
      </c>
      <c r="H99" s="5" t="n">
        <f aca="false">MIN(100,MAX(0,IF(NOT(ISNUMBER(PriceMetrics!K99)),50,100*(SUMPRODUCT(($B$2:$B$151=TRUE())*ISNUMBER(PriceMetrics!$K$2:$K$151)*(PriceMetrics!$K$2:$K$151&lt;PriceMetrics!K99))/MAX(1,SUMPRODUCT(($B$2:$B$151=TRUE())*ISNUMBER(PriceMetrics!$K$2:$K$151)))))+IF(ISNUMBER(PriceMetrics!L99),10*PriceMetrics!L99,0)))</f>
        <v>50</v>
      </c>
      <c r="I99" s="5" t="n">
        <f aca="false">0.6*IF(NOT(ISNUMBER(PriceMetrics!P99)),50,100*(SUMPRODUCT(($B$2:$B$151=TRUE())*ISNUMBER(PriceMetrics!$P$2:$P$151)*(PriceMetrics!$P$2:$P$151&lt;PriceMetrics!P99))/MAX(1,SUMPRODUCT(($B$2:$B$151=TRUE())*ISNUMBER(PriceMetrics!$P$2:$P$151)))))+0.4*IF(NOT(ISNUMBER(PriceMetrics!H99)),50,IF(PriceMetrics!H99&gt;70,40,IF(PriceMetrics!H99&gt;=50,100,IF(PriceMetrics!H99&gt;=35,60,30))))</f>
        <v>50</v>
      </c>
      <c r="J99" s="5" t="n">
        <f aca="false">AVERAGE(IF(NOT(ISNUMBER(PriceMetrics!F99)),50,100*(1-(SUMPRODUCT(($B$2:$B$151=TRUE())*ISNUMBER(PriceMetrics!$F$2:$F$151)*(PriceMetrics!$F$2:$F$151&lt;PriceMetrics!F99))/MAX(1,SUMPRODUCT(($B$2:$B$151=TRUE())*ISNUMBER(PriceMetrics!$F$2:$F$151)))))),IF(NOT(ISNUMBER(PriceMetrics!G99)),50,100*(1-(SUMPRODUCT(($B$2:$B$151=TRUE())*ISNUMBER(PriceMetrics!$G$2:$G$151)*(ABS(PriceMetrics!$G$2:$G$151)&lt;ABS(PriceMetrics!G99)))/MAX(1,SUMPRODUCT(($B$2:$B$151=TRUE())*ISNUMBER(PriceMetrics!$G$2:$G$151)))))))</f>
        <v>50</v>
      </c>
      <c r="K99" s="5" t="n">
        <f aca="false">AVERAGE(H99:J99)</f>
        <v>50</v>
      </c>
      <c r="L99" s="8" t="n">
        <f aca="false">Macro!$B$26</f>
        <v>53.5</v>
      </c>
      <c r="M99" s="5" t="n">
        <f aca="false">Control!$B$3*100*G99/100+Control!$B$4*K99+Control!$B$5*L99</f>
        <v>50.7</v>
      </c>
      <c r="N99" s="3" t="n">
        <f aca="false">M99+ROW()/1000000</f>
        <v>50.700099</v>
      </c>
      <c r="O99" s="5" t="n">
        <f aca="false">M99-IF(AND(Tickers!D99="SMALLCAP100",Macro!$B$26&lt;40),Control!$B$11,0)</f>
        <v>50.7</v>
      </c>
      <c r="P99" s="3" t="str">
        <f aca="false">IF(B99=FALSE(),"-",IF(O99&gt;=Control!$B$7,"BUY",IF(O99&gt;=Control!$B$8,"ACCUMULATE",IF(O99&gt;=Control!$B$9,"HOLD","AVOID"))))</f>
        <v>-</v>
      </c>
      <c r="Q99" s="3" t="str">
        <f aca="false">IF(B99=FALSE(),"",IF(OR(O99&gt;=72,O99&lt;=32),"High",IF(OR(O99&gt;=62,O99&lt;=42),"Medium","Low")))</f>
        <v/>
      </c>
      <c r="R99" s="12" t="n">
        <f aca="false">IF(P99="BUY",Control!$B$12,IF(P99="ACCUMULATE",Control!$B$13,0))</f>
        <v>0</v>
      </c>
      <c r="S99" s="3" t="str">
        <f aca="false">IF(B99=FALSE(),"",IF(T99=C99,"Rich valuation",IF(T99=E99,"Weak growth",IF(T99=F99,"Balance-sheet leverage",IF(T99=I99,"Negative momentum","High volatility/drawdown")))))</f>
        <v/>
      </c>
      <c r="T99" s="3" t="n">
        <f aca="false">MIN(C99,E99,F99,I99,J99)</f>
        <v>50</v>
      </c>
      <c r="U99" s="3" t="n">
        <f aca="false">IF(B99=TRUE(),N99,-1000+ROW()/1000000)</f>
        <v>-999.999901</v>
      </c>
    </row>
    <row r="100" customFormat="false" ht="15" hidden="false" customHeight="false" outlineLevel="0" collapsed="false">
      <c r="A100" s="7" t="str">
        <f aca="false">Tickers!A100</f>
        <v>IRCON</v>
      </c>
      <c r="B100" s="19" t="b">
        <f aca="false">Tickers!F100</f>
        <v>0</v>
      </c>
      <c r="C100" s="5" t="n">
        <f aca="false">AVERAGE(IF(NOT(ISNUMBER(Fundamentals!C100)),50,IF(Fundamentals!C100&lt;=0,15,100*(1-(SUMPRODUCT(($B$2:$B$151=TRUE())*ISNUMBER(Fundamentals!$C$2:$C$151)*(Fundamentals!$C$2:$C$151&gt;0)*(Fundamentals!$C$2:$C$151&lt;Fundamentals!C100))/MAX(1,SUMPRODUCT(($B$2:$B$151=TRUE())*ISNUMBER(Fundamentals!$C$2:$C$151)*(Fundamentals!$C$2:$C$151&gt;0))))))),IF(NOT(ISNUMBER(Fundamentals!E100)),50,IF(Fundamentals!E100&lt;=0,15,100*(1-(SUMPRODUCT(($B$2:$B$151=TRUE())*ISNUMBER(Fundamentals!$E$2:$E$151)*(Fundamentals!$E$2:$E$151&gt;0)*(Fundamentals!$E$2:$E$151&lt;Fundamentals!E100))/MAX(1,SUMPRODUCT(($B$2:$B$151=TRUE())*ISNUMBER(Fundamentals!$E$2:$E$151)*(Fundamentals!$E$2:$E$151&gt;0))))))))</f>
        <v>50</v>
      </c>
      <c r="D100" s="5" t="n">
        <f aca="false">AVERAGE(IF(NOT(ISNUMBER(Fundamentals!F100)),50,100*(SUMPRODUCT(($B$2:$B$151=TRUE())*ISNUMBER(Fundamentals!$F$2:$F$151)*(Fundamentals!$F$2:$F$151&lt;Fundamentals!F100))/MAX(1,SUMPRODUCT(($B$2:$B$151=TRUE())*ISNUMBER(Fundamentals!$F$2:$F$151))))),IF(NOT(ISNUMBER(Fundamentals!J100)),50,100*(SUMPRODUCT(($B$2:$B$151=TRUE())*ISNUMBER(Fundamentals!$J$2:$J$151)*(Fundamentals!$J$2:$J$151&lt;Fundamentals!J100))/MAX(1,SUMPRODUCT(($B$2:$B$151=TRUE())*ISNUMBER(Fundamentals!$J$2:$J$151))))))</f>
        <v>50</v>
      </c>
      <c r="E100" s="5" t="n">
        <f aca="false">AVERAGE(IF(NOT(ISNUMBER(Fundamentals!H100)),50,100*(SUMPRODUCT(($B$2:$B$151=TRUE())*ISNUMBER(Fundamentals!$H$2:$H$151)*(Fundamentals!$H$2:$H$151&lt;Fundamentals!H100))/MAX(1,SUMPRODUCT(($B$2:$B$151=TRUE())*ISNUMBER(Fundamentals!$H$2:$H$151))))),IF(NOT(ISNUMBER(Fundamentals!I100)),50,100*(SUMPRODUCT(($B$2:$B$151=TRUE())*ISNUMBER(Fundamentals!$I$2:$I$151)*(Fundamentals!$I$2:$I$151&lt;Fundamentals!I100))/MAX(1,SUMPRODUCT(($B$2:$B$151=TRUE())*ISNUMBER(Fundamentals!$I$2:$I$151))))))</f>
        <v>50</v>
      </c>
      <c r="F100" s="5" t="n">
        <f aca="false">IF(Tickers!C100="Financial Services",50,IF(NOT(ISNUMBER(Fundamentals!G100)),50,100*(1-(SUMPRODUCT(($B$2:$B$151=TRUE())*ISNUMBER(Fundamentals!$G$2:$G$151)*(Fundamentals!$G$2:$G$151&lt;Fundamentals!G100))/MAX(1,SUMPRODUCT(($B$2:$B$151=TRUE())*ISNUMBER(Fundamentals!$G$2:$G$151)))))))</f>
        <v>50</v>
      </c>
      <c r="G100" s="5" t="n">
        <f aca="false">AVERAGE(C100:F100)</f>
        <v>50</v>
      </c>
      <c r="H100" s="5" t="n">
        <f aca="false">MIN(100,MAX(0,IF(NOT(ISNUMBER(PriceMetrics!K100)),50,100*(SUMPRODUCT(($B$2:$B$151=TRUE())*ISNUMBER(PriceMetrics!$K$2:$K$151)*(PriceMetrics!$K$2:$K$151&lt;PriceMetrics!K100))/MAX(1,SUMPRODUCT(($B$2:$B$151=TRUE())*ISNUMBER(PriceMetrics!$K$2:$K$151)))))+IF(ISNUMBER(PriceMetrics!L100),10*PriceMetrics!L100,0)))</f>
        <v>50</v>
      </c>
      <c r="I100" s="5" t="n">
        <f aca="false">0.6*IF(NOT(ISNUMBER(PriceMetrics!P100)),50,100*(SUMPRODUCT(($B$2:$B$151=TRUE())*ISNUMBER(PriceMetrics!$P$2:$P$151)*(PriceMetrics!$P$2:$P$151&lt;PriceMetrics!P100))/MAX(1,SUMPRODUCT(($B$2:$B$151=TRUE())*ISNUMBER(PriceMetrics!$P$2:$P$151)))))+0.4*IF(NOT(ISNUMBER(PriceMetrics!H100)),50,IF(PriceMetrics!H100&gt;70,40,IF(PriceMetrics!H100&gt;=50,100,IF(PriceMetrics!H100&gt;=35,60,30))))</f>
        <v>50</v>
      </c>
      <c r="J100" s="5" t="n">
        <f aca="false">AVERAGE(IF(NOT(ISNUMBER(PriceMetrics!F100)),50,100*(1-(SUMPRODUCT(($B$2:$B$151=TRUE())*ISNUMBER(PriceMetrics!$F$2:$F$151)*(PriceMetrics!$F$2:$F$151&lt;PriceMetrics!F100))/MAX(1,SUMPRODUCT(($B$2:$B$151=TRUE())*ISNUMBER(PriceMetrics!$F$2:$F$151)))))),IF(NOT(ISNUMBER(PriceMetrics!G100)),50,100*(1-(SUMPRODUCT(($B$2:$B$151=TRUE())*ISNUMBER(PriceMetrics!$G$2:$G$151)*(ABS(PriceMetrics!$G$2:$G$151)&lt;ABS(PriceMetrics!G100)))/MAX(1,SUMPRODUCT(($B$2:$B$151=TRUE())*ISNUMBER(PriceMetrics!$G$2:$G$151)))))))</f>
        <v>50</v>
      </c>
      <c r="K100" s="5" t="n">
        <f aca="false">AVERAGE(H100:J100)</f>
        <v>50</v>
      </c>
      <c r="L100" s="8" t="n">
        <f aca="false">Macro!$B$26</f>
        <v>53.5</v>
      </c>
      <c r="M100" s="5" t="n">
        <f aca="false">Control!$B$3*100*G100/100+Control!$B$4*K100+Control!$B$5*L100</f>
        <v>50.7</v>
      </c>
      <c r="N100" s="3" t="n">
        <f aca="false">M100+ROW()/1000000</f>
        <v>50.7001</v>
      </c>
      <c r="O100" s="5" t="n">
        <f aca="false">M100-IF(AND(Tickers!D100="SMALLCAP100",Macro!$B$26&lt;40),Control!$B$11,0)</f>
        <v>50.7</v>
      </c>
      <c r="P100" s="3" t="str">
        <f aca="false">IF(B100=FALSE(),"-",IF(O100&gt;=Control!$B$7,"BUY",IF(O100&gt;=Control!$B$8,"ACCUMULATE",IF(O100&gt;=Control!$B$9,"HOLD","AVOID"))))</f>
        <v>-</v>
      </c>
      <c r="Q100" s="3" t="str">
        <f aca="false">IF(B100=FALSE(),"",IF(OR(O100&gt;=72,O100&lt;=32),"High",IF(OR(O100&gt;=62,O100&lt;=42),"Medium","Low")))</f>
        <v/>
      </c>
      <c r="R100" s="12" t="n">
        <f aca="false">IF(P100="BUY",Control!$B$12,IF(P100="ACCUMULATE",Control!$B$13,0))</f>
        <v>0</v>
      </c>
      <c r="S100" s="3" t="str">
        <f aca="false">IF(B100=FALSE(),"",IF(T100=C100,"Rich valuation",IF(T100=E100,"Weak growth",IF(T100=F100,"Balance-sheet leverage",IF(T100=I100,"Negative momentum","High volatility/drawdown")))))</f>
        <v/>
      </c>
      <c r="T100" s="3" t="n">
        <f aca="false">MIN(C100,E100,F100,I100,J100)</f>
        <v>50</v>
      </c>
      <c r="U100" s="3" t="n">
        <f aca="false">IF(B100=TRUE(),N100,-1000+ROW()/1000000)</f>
        <v>-999.9999</v>
      </c>
    </row>
    <row r="101" customFormat="false" ht="15" hidden="false" customHeight="false" outlineLevel="0" collapsed="false">
      <c r="A101" s="7" t="str">
        <f aca="false">Tickers!A101</f>
        <v>ITI</v>
      </c>
      <c r="B101" s="19" t="b">
        <f aca="false">Tickers!F101</f>
        <v>0</v>
      </c>
      <c r="C101" s="5" t="n">
        <f aca="false">AVERAGE(IF(NOT(ISNUMBER(Fundamentals!C101)),50,IF(Fundamentals!C101&lt;=0,15,100*(1-(SUMPRODUCT(($B$2:$B$151=TRUE())*ISNUMBER(Fundamentals!$C$2:$C$151)*(Fundamentals!$C$2:$C$151&gt;0)*(Fundamentals!$C$2:$C$151&lt;Fundamentals!C101))/MAX(1,SUMPRODUCT(($B$2:$B$151=TRUE())*ISNUMBER(Fundamentals!$C$2:$C$151)*(Fundamentals!$C$2:$C$151&gt;0))))))),IF(NOT(ISNUMBER(Fundamentals!E101)),50,IF(Fundamentals!E101&lt;=0,15,100*(1-(SUMPRODUCT(($B$2:$B$151=TRUE())*ISNUMBER(Fundamentals!$E$2:$E$151)*(Fundamentals!$E$2:$E$151&gt;0)*(Fundamentals!$E$2:$E$151&lt;Fundamentals!E101))/MAX(1,SUMPRODUCT(($B$2:$B$151=TRUE())*ISNUMBER(Fundamentals!$E$2:$E$151)*(Fundamentals!$E$2:$E$151&gt;0))))))))</f>
        <v>50</v>
      </c>
      <c r="D101" s="5" t="n">
        <f aca="false">AVERAGE(IF(NOT(ISNUMBER(Fundamentals!F101)),50,100*(SUMPRODUCT(($B$2:$B$151=TRUE())*ISNUMBER(Fundamentals!$F$2:$F$151)*(Fundamentals!$F$2:$F$151&lt;Fundamentals!F101))/MAX(1,SUMPRODUCT(($B$2:$B$151=TRUE())*ISNUMBER(Fundamentals!$F$2:$F$151))))),IF(NOT(ISNUMBER(Fundamentals!J101)),50,100*(SUMPRODUCT(($B$2:$B$151=TRUE())*ISNUMBER(Fundamentals!$J$2:$J$151)*(Fundamentals!$J$2:$J$151&lt;Fundamentals!J101))/MAX(1,SUMPRODUCT(($B$2:$B$151=TRUE())*ISNUMBER(Fundamentals!$J$2:$J$151))))))</f>
        <v>50</v>
      </c>
      <c r="E101" s="5" t="n">
        <f aca="false">AVERAGE(IF(NOT(ISNUMBER(Fundamentals!H101)),50,100*(SUMPRODUCT(($B$2:$B$151=TRUE())*ISNUMBER(Fundamentals!$H$2:$H$151)*(Fundamentals!$H$2:$H$151&lt;Fundamentals!H101))/MAX(1,SUMPRODUCT(($B$2:$B$151=TRUE())*ISNUMBER(Fundamentals!$H$2:$H$151))))),IF(NOT(ISNUMBER(Fundamentals!I101)),50,100*(SUMPRODUCT(($B$2:$B$151=TRUE())*ISNUMBER(Fundamentals!$I$2:$I$151)*(Fundamentals!$I$2:$I$151&lt;Fundamentals!I101))/MAX(1,SUMPRODUCT(($B$2:$B$151=TRUE())*ISNUMBER(Fundamentals!$I$2:$I$151))))))</f>
        <v>50</v>
      </c>
      <c r="F101" s="5" t="n">
        <f aca="false">IF(Tickers!C101="Financial Services",50,IF(NOT(ISNUMBER(Fundamentals!G101)),50,100*(1-(SUMPRODUCT(($B$2:$B$151=TRUE())*ISNUMBER(Fundamentals!$G$2:$G$151)*(Fundamentals!$G$2:$G$151&lt;Fundamentals!G101))/MAX(1,SUMPRODUCT(($B$2:$B$151=TRUE())*ISNUMBER(Fundamentals!$G$2:$G$151)))))))</f>
        <v>50</v>
      </c>
      <c r="G101" s="5" t="n">
        <f aca="false">AVERAGE(C101:F101)</f>
        <v>50</v>
      </c>
      <c r="H101" s="5" t="n">
        <f aca="false">MIN(100,MAX(0,IF(NOT(ISNUMBER(PriceMetrics!K101)),50,100*(SUMPRODUCT(($B$2:$B$151=TRUE())*ISNUMBER(PriceMetrics!$K$2:$K$151)*(PriceMetrics!$K$2:$K$151&lt;PriceMetrics!K101))/MAX(1,SUMPRODUCT(($B$2:$B$151=TRUE())*ISNUMBER(PriceMetrics!$K$2:$K$151)))))+IF(ISNUMBER(PriceMetrics!L101),10*PriceMetrics!L101,0)))</f>
        <v>50</v>
      </c>
      <c r="I101" s="5" t="n">
        <f aca="false">0.6*IF(NOT(ISNUMBER(PriceMetrics!P101)),50,100*(SUMPRODUCT(($B$2:$B$151=TRUE())*ISNUMBER(PriceMetrics!$P$2:$P$151)*(PriceMetrics!$P$2:$P$151&lt;PriceMetrics!P101))/MAX(1,SUMPRODUCT(($B$2:$B$151=TRUE())*ISNUMBER(PriceMetrics!$P$2:$P$151)))))+0.4*IF(NOT(ISNUMBER(PriceMetrics!H101)),50,IF(PriceMetrics!H101&gt;70,40,IF(PriceMetrics!H101&gt;=50,100,IF(PriceMetrics!H101&gt;=35,60,30))))</f>
        <v>50</v>
      </c>
      <c r="J101" s="5" t="n">
        <f aca="false">AVERAGE(IF(NOT(ISNUMBER(PriceMetrics!F101)),50,100*(1-(SUMPRODUCT(($B$2:$B$151=TRUE())*ISNUMBER(PriceMetrics!$F$2:$F$151)*(PriceMetrics!$F$2:$F$151&lt;PriceMetrics!F101))/MAX(1,SUMPRODUCT(($B$2:$B$151=TRUE())*ISNUMBER(PriceMetrics!$F$2:$F$151)))))),IF(NOT(ISNUMBER(PriceMetrics!G101)),50,100*(1-(SUMPRODUCT(($B$2:$B$151=TRUE())*ISNUMBER(PriceMetrics!$G$2:$G$151)*(ABS(PriceMetrics!$G$2:$G$151)&lt;ABS(PriceMetrics!G101)))/MAX(1,SUMPRODUCT(($B$2:$B$151=TRUE())*ISNUMBER(PriceMetrics!$G$2:$G$151)))))))</f>
        <v>50</v>
      </c>
      <c r="K101" s="5" t="n">
        <f aca="false">AVERAGE(H101:J101)</f>
        <v>50</v>
      </c>
      <c r="L101" s="8" t="n">
        <f aca="false">Macro!$B$26</f>
        <v>53.5</v>
      </c>
      <c r="M101" s="5" t="n">
        <f aca="false">Control!$B$3*100*G101/100+Control!$B$4*K101+Control!$B$5*L101</f>
        <v>50.7</v>
      </c>
      <c r="N101" s="3" t="n">
        <f aca="false">M101+ROW()/1000000</f>
        <v>50.700101</v>
      </c>
      <c r="O101" s="5" t="n">
        <f aca="false">M101-IF(AND(Tickers!D101="SMALLCAP100",Macro!$B$26&lt;40),Control!$B$11,0)</f>
        <v>50.7</v>
      </c>
      <c r="P101" s="3" t="str">
        <f aca="false">IF(B101=FALSE(),"-",IF(O101&gt;=Control!$B$7,"BUY",IF(O101&gt;=Control!$B$8,"ACCUMULATE",IF(O101&gt;=Control!$B$9,"HOLD","AVOID"))))</f>
        <v>-</v>
      </c>
      <c r="Q101" s="3" t="str">
        <f aca="false">IF(B101=FALSE(),"",IF(OR(O101&gt;=72,O101&lt;=32),"High",IF(OR(O101&gt;=62,O101&lt;=42),"Medium","Low")))</f>
        <v/>
      </c>
      <c r="R101" s="12" t="n">
        <f aca="false">IF(P101="BUY",Control!$B$12,IF(P101="ACCUMULATE",Control!$B$13,0))</f>
        <v>0</v>
      </c>
      <c r="S101" s="3" t="str">
        <f aca="false">IF(B101=FALSE(),"",IF(T101=C101,"Rich valuation",IF(T101=E101,"Weak growth",IF(T101=F101,"Balance-sheet leverage",IF(T101=I101,"Negative momentum","High volatility/drawdown")))))</f>
        <v/>
      </c>
      <c r="T101" s="3" t="n">
        <f aca="false">MIN(C101,E101,F101,I101,J101)</f>
        <v>50</v>
      </c>
      <c r="U101" s="3" t="n">
        <f aca="false">IF(B101=TRUE(),N101,-1000+ROW()/1000000)</f>
        <v>-999.999899</v>
      </c>
    </row>
    <row r="102" customFormat="false" ht="15" hidden="false" customHeight="false" outlineLevel="0" collapsed="false">
      <c r="A102" s="7" t="str">
        <f aca="false">Tickers!A102</f>
        <v>IGL</v>
      </c>
      <c r="B102" s="19" t="b">
        <f aca="false">Tickers!F102</f>
        <v>0</v>
      </c>
      <c r="C102" s="5" t="n">
        <f aca="false">AVERAGE(IF(NOT(ISNUMBER(Fundamentals!C102)),50,IF(Fundamentals!C102&lt;=0,15,100*(1-(SUMPRODUCT(($B$2:$B$151=TRUE())*ISNUMBER(Fundamentals!$C$2:$C$151)*(Fundamentals!$C$2:$C$151&gt;0)*(Fundamentals!$C$2:$C$151&lt;Fundamentals!C102))/MAX(1,SUMPRODUCT(($B$2:$B$151=TRUE())*ISNUMBER(Fundamentals!$C$2:$C$151)*(Fundamentals!$C$2:$C$151&gt;0))))))),IF(NOT(ISNUMBER(Fundamentals!E102)),50,IF(Fundamentals!E102&lt;=0,15,100*(1-(SUMPRODUCT(($B$2:$B$151=TRUE())*ISNUMBER(Fundamentals!$E$2:$E$151)*(Fundamentals!$E$2:$E$151&gt;0)*(Fundamentals!$E$2:$E$151&lt;Fundamentals!E102))/MAX(1,SUMPRODUCT(($B$2:$B$151=TRUE())*ISNUMBER(Fundamentals!$E$2:$E$151)*(Fundamentals!$E$2:$E$151&gt;0))))))))</f>
        <v>50</v>
      </c>
      <c r="D102" s="5" t="n">
        <f aca="false">AVERAGE(IF(NOT(ISNUMBER(Fundamentals!F102)),50,100*(SUMPRODUCT(($B$2:$B$151=TRUE())*ISNUMBER(Fundamentals!$F$2:$F$151)*(Fundamentals!$F$2:$F$151&lt;Fundamentals!F102))/MAX(1,SUMPRODUCT(($B$2:$B$151=TRUE())*ISNUMBER(Fundamentals!$F$2:$F$151))))),IF(NOT(ISNUMBER(Fundamentals!J102)),50,100*(SUMPRODUCT(($B$2:$B$151=TRUE())*ISNUMBER(Fundamentals!$J$2:$J$151)*(Fundamentals!$J$2:$J$151&lt;Fundamentals!J102))/MAX(1,SUMPRODUCT(($B$2:$B$151=TRUE())*ISNUMBER(Fundamentals!$J$2:$J$151))))))</f>
        <v>50</v>
      </c>
      <c r="E102" s="5" t="n">
        <f aca="false">AVERAGE(IF(NOT(ISNUMBER(Fundamentals!H102)),50,100*(SUMPRODUCT(($B$2:$B$151=TRUE())*ISNUMBER(Fundamentals!$H$2:$H$151)*(Fundamentals!$H$2:$H$151&lt;Fundamentals!H102))/MAX(1,SUMPRODUCT(($B$2:$B$151=TRUE())*ISNUMBER(Fundamentals!$H$2:$H$151))))),IF(NOT(ISNUMBER(Fundamentals!I102)),50,100*(SUMPRODUCT(($B$2:$B$151=TRUE())*ISNUMBER(Fundamentals!$I$2:$I$151)*(Fundamentals!$I$2:$I$151&lt;Fundamentals!I102))/MAX(1,SUMPRODUCT(($B$2:$B$151=TRUE())*ISNUMBER(Fundamentals!$I$2:$I$151))))))</f>
        <v>50</v>
      </c>
      <c r="F102" s="5" t="n">
        <f aca="false">IF(Tickers!C102="Financial Services",50,IF(NOT(ISNUMBER(Fundamentals!G102)),50,100*(1-(SUMPRODUCT(($B$2:$B$151=TRUE())*ISNUMBER(Fundamentals!$G$2:$G$151)*(Fundamentals!$G$2:$G$151&lt;Fundamentals!G102))/MAX(1,SUMPRODUCT(($B$2:$B$151=TRUE())*ISNUMBER(Fundamentals!$G$2:$G$151)))))))</f>
        <v>50</v>
      </c>
      <c r="G102" s="5" t="n">
        <f aca="false">AVERAGE(C102:F102)</f>
        <v>50</v>
      </c>
      <c r="H102" s="5" t="n">
        <f aca="false">MIN(100,MAX(0,IF(NOT(ISNUMBER(PriceMetrics!K102)),50,100*(SUMPRODUCT(($B$2:$B$151=TRUE())*ISNUMBER(PriceMetrics!$K$2:$K$151)*(PriceMetrics!$K$2:$K$151&lt;PriceMetrics!K102))/MAX(1,SUMPRODUCT(($B$2:$B$151=TRUE())*ISNUMBER(PriceMetrics!$K$2:$K$151)))))+IF(ISNUMBER(PriceMetrics!L102),10*PriceMetrics!L102,0)))</f>
        <v>50</v>
      </c>
      <c r="I102" s="5" t="n">
        <f aca="false">0.6*IF(NOT(ISNUMBER(PriceMetrics!P102)),50,100*(SUMPRODUCT(($B$2:$B$151=TRUE())*ISNUMBER(PriceMetrics!$P$2:$P$151)*(PriceMetrics!$P$2:$P$151&lt;PriceMetrics!P102))/MAX(1,SUMPRODUCT(($B$2:$B$151=TRUE())*ISNUMBER(PriceMetrics!$P$2:$P$151)))))+0.4*IF(NOT(ISNUMBER(PriceMetrics!H102)),50,IF(PriceMetrics!H102&gt;70,40,IF(PriceMetrics!H102&gt;=50,100,IF(PriceMetrics!H102&gt;=35,60,30))))</f>
        <v>50</v>
      </c>
      <c r="J102" s="5" t="n">
        <f aca="false">AVERAGE(IF(NOT(ISNUMBER(PriceMetrics!F102)),50,100*(1-(SUMPRODUCT(($B$2:$B$151=TRUE())*ISNUMBER(PriceMetrics!$F$2:$F$151)*(PriceMetrics!$F$2:$F$151&lt;PriceMetrics!F102))/MAX(1,SUMPRODUCT(($B$2:$B$151=TRUE())*ISNUMBER(PriceMetrics!$F$2:$F$151)))))),IF(NOT(ISNUMBER(PriceMetrics!G102)),50,100*(1-(SUMPRODUCT(($B$2:$B$151=TRUE())*ISNUMBER(PriceMetrics!$G$2:$G$151)*(ABS(PriceMetrics!$G$2:$G$151)&lt;ABS(PriceMetrics!G102)))/MAX(1,SUMPRODUCT(($B$2:$B$151=TRUE())*ISNUMBER(PriceMetrics!$G$2:$G$151)))))))</f>
        <v>50</v>
      </c>
      <c r="K102" s="5" t="n">
        <f aca="false">AVERAGE(H102:J102)</f>
        <v>50</v>
      </c>
      <c r="L102" s="8" t="n">
        <f aca="false">Macro!$B$26</f>
        <v>53.5</v>
      </c>
      <c r="M102" s="5" t="n">
        <f aca="false">Control!$B$3*100*G102/100+Control!$B$4*K102+Control!$B$5*L102</f>
        <v>50.7</v>
      </c>
      <c r="N102" s="3" t="n">
        <f aca="false">M102+ROW()/1000000</f>
        <v>50.700102</v>
      </c>
      <c r="O102" s="5" t="n">
        <f aca="false">M102-IF(AND(Tickers!D102="SMALLCAP100",Macro!$B$26&lt;40),Control!$B$11,0)</f>
        <v>50.7</v>
      </c>
      <c r="P102" s="3" t="str">
        <f aca="false">IF(B102=FALSE(),"-",IF(O102&gt;=Control!$B$7,"BUY",IF(O102&gt;=Control!$B$8,"ACCUMULATE",IF(O102&gt;=Control!$B$9,"HOLD","AVOID"))))</f>
        <v>-</v>
      </c>
      <c r="Q102" s="3" t="str">
        <f aca="false">IF(B102=FALSE(),"",IF(OR(O102&gt;=72,O102&lt;=32),"High",IF(OR(O102&gt;=62,O102&lt;=42),"Medium","Low")))</f>
        <v/>
      </c>
      <c r="R102" s="12" t="n">
        <f aca="false">IF(P102="BUY",Control!$B$12,IF(P102="ACCUMULATE",Control!$B$13,0))</f>
        <v>0</v>
      </c>
      <c r="S102" s="3" t="str">
        <f aca="false">IF(B102=FALSE(),"",IF(T102=C102,"Rich valuation",IF(T102=E102,"Weak growth",IF(T102=F102,"Balance-sheet leverage",IF(T102=I102,"Negative momentum","High volatility/drawdown")))))</f>
        <v/>
      </c>
      <c r="T102" s="3" t="n">
        <f aca="false">MIN(C102,E102,F102,I102,J102)</f>
        <v>50</v>
      </c>
      <c r="U102" s="3" t="n">
        <f aca="false">IF(B102=TRUE(),N102,-1000+ROW()/1000000)</f>
        <v>-999.999898</v>
      </c>
    </row>
    <row r="103" customFormat="false" ht="15" hidden="false" customHeight="false" outlineLevel="0" collapsed="false">
      <c r="A103" s="7" t="str">
        <f aca="false">Tickers!A103</f>
        <v>INOXWIND</v>
      </c>
      <c r="B103" s="19" t="b">
        <f aca="false">Tickers!F103</f>
        <v>0</v>
      </c>
      <c r="C103" s="5" t="n">
        <f aca="false">AVERAGE(IF(NOT(ISNUMBER(Fundamentals!C103)),50,IF(Fundamentals!C103&lt;=0,15,100*(1-(SUMPRODUCT(($B$2:$B$151=TRUE())*ISNUMBER(Fundamentals!$C$2:$C$151)*(Fundamentals!$C$2:$C$151&gt;0)*(Fundamentals!$C$2:$C$151&lt;Fundamentals!C103))/MAX(1,SUMPRODUCT(($B$2:$B$151=TRUE())*ISNUMBER(Fundamentals!$C$2:$C$151)*(Fundamentals!$C$2:$C$151&gt;0))))))),IF(NOT(ISNUMBER(Fundamentals!E103)),50,IF(Fundamentals!E103&lt;=0,15,100*(1-(SUMPRODUCT(($B$2:$B$151=TRUE())*ISNUMBER(Fundamentals!$E$2:$E$151)*(Fundamentals!$E$2:$E$151&gt;0)*(Fundamentals!$E$2:$E$151&lt;Fundamentals!E103))/MAX(1,SUMPRODUCT(($B$2:$B$151=TRUE())*ISNUMBER(Fundamentals!$E$2:$E$151)*(Fundamentals!$E$2:$E$151&gt;0))))))))</f>
        <v>50</v>
      </c>
      <c r="D103" s="5" t="n">
        <f aca="false">AVERAGE(IF(NOT(ISNUMBER(Fundamentals!F103)),50,100*(SUMPRODUCT(($B$2:$B$151=TRUE())*ISNUMBER(Fundamentals!$F$2:$F$151)*(Fundamentals!$F$2:$F$151&lt;Fundamentals!F103))/MAX(1,SUMPRODUCT(($B$2:$B$151=TRUE())*ISNUMBER(Fundamentals!$F$2:$F$151))))),IF(NOT(ISNUMBER(Fundamentals!J103)),50,100*(SUMPRODUCT(($B$2:$B$151=TRUE())*ISNUMBER(Fundamentals!$J$2:$J$151)*(Fundamentals!$J$2:$J$151&lt;Fundamentals!J103))/MAX(1,SUMPRODUCT(($B$2:$B$151=TRUE())*ISNUMBER(Fundamentals!$J$2:$J$151))))))</f>
        <v>50</v>
      </c>
      <c r="E103" s="5" t="n">
        <f aca="false">AVERAGE(IF(NOT(ISNUMBER(Fundamentals!H103)),50,100*(SUMPRODUCT(($B$2:$B$151=TRUE())*ISNUMBER(Fundamentals!$H$2:$H$151)*(Fundamentals!$H$2:$H$151&lt;Fundamentals!H103))/MAX(1,SUMPRODUCT(($B$2:$B$151=TRUE())*ISNUMBER(Fundamentals!$H$2:$H$151))))),IF(NOT(ISNUMBER(Fundamentals!I103)),50,100*(SUMPRODUCT(($B$2:$B$151=TRUE())*ISNUMBER(Fundamentals!$I$2:$I$151)*(Fundamentals!$I$2:$I$151&lt;Fundamentals!I103))/MAX(1,SUMPRODUCT(($B$2:$B$151=TRUE())*ISNUMBER(Fundamentals!$I$2:$I$151))))))</f>
        <v>50</v>
      </c>
      <c r="F103" s="5" t="n">
        <f aca="false">IF(Tickers!C103="Financial Services",50,IF(NOT(ISNUMBER(Fundamentals!G103)),50,100*(1-(SUMPRODUCT(($B$2:$B$151=TRUE())*ISNUMBER(Fundamentals!$G$2:$G$151)*(Fundamentals!$G$2:$G$151&lt;Fundamentals!G103))/MAX(1,SUMPRODUCT(($B$2:$B$151=TRUE())*ISNUMBER(Fundamentals!$G$2:$G$151)))))))</f>
        <v>50</v>
      </c>
      <c r="G103" s="5" t="n">
        <f aca="false">AVERAGE(C103:F103)</f>
        <v>50</v>
      </c>
      <c r="H103" s="5" t="n">
        <f aca="false">MIN(100,MAX(0,IF(NOT(ISNUMBER(PriceMetrics!K103)),50,100*(SUMPRODUCT(($B$2:$B$151=TRUE())*ISNUMBER(PriceMetrics!$K$2:$K$151)*(PriceMetrics!$K$2:$K$151&lt;PriceMetrics!K103))/MAX(1,SUMPRODUCT(($B$2:$B$151=TRUE())*ISNUMBER(PriceMetrics!$K$2:$K$151)))))+IF(ISNUMBER(PriceMetrics!L103),10*PriceMetrics!L103,0)))</f>
        <v>50</v>
      </c>
      <c r="I103" s="5" t="n">
        <f aca="false">0.6*IF(NOT(ISNUMBER(PriceMetrics!P103)),50,100*(SUMPRODUCT(($B$2:$B$151=TRUE())*ISNUMBER(PriceMetrics!$P$2:$P$151)*(PriceMetrics!$P$2:$P$151&lt;PriceMetrics!P103))/MAX(1,SUMPRODUCT(($B$2:$B$151=TRUE())*ISNUMBER(PriceMetrics!$P$2:$P$151)))))+0.4*IF(NOT(ISNUMBER(PriceMetrics!H103)),50,IF(PriceMetrics!H103&gt;70,40,IF(PriceMetrics!H103&gt;=50,100,IF(PriceMetrics!H103&gt;=35,60,30))))</f>
        <v>50</v>
      </c>
      <c r="J103" s="5" t="n">
        <f aca="false">AVERAGE(IF(NOT(ISNUMBER(PriceMetrics!F103)),50,100*(1-(SUMPRODUCT(($B$2:$B$151=TRUE())*ISNUMBER(PriceMetrics!$F$2:$F$151)*(PriceMetrics!$F$2:$F$151&lt;PriceMetrics!F103))/MAX(1,SUMPRODUCT(($B$2:$B$151=TRUE())*ISNUMBER(PriceMetrics!$F$2:$F$151)))))),IF(NOT(ISNUMBER(PriceMetrics!G103)),50,100*(1-(SUMPRODUCT(($B$2:$B$151=TRUE())*ISNUMBER(PriceMetrics!$G$2:$G$151)*(ABS(PriceMetrics!$G$2:$G$151)&lt;ABS(PriceMetrics!G103)))/MAX(1,SUMPRODUCT(($B$2:$B$151=TRUE())*ISNUMBER(PriceMetrics!$G$2:$G$151)))))))</f>
        <v>50</v>
      </c>
      <c r="K103" s="5" t="n">
        <f aca="false">AVERAGE(H103:J103)</f>
        <v>50</v>
      </c>
      <c r="L103" s="8" t="n">
        <f aca="false">Macro!$B$26</f>
        <v>53.5</v>
      </c>
      <c r="M103" s="5" t="n">
        <f aca="false">Control!$B$3*100*G103/100+Control!$B$4*K103+Control!$B$5*L103</f>
        <v>50.7</v>
      </c>
      <c r="N103" s="3" t="n">
        <f aca="false">M103+ROW()/1000000</f>
        <v>50.700103</v>
      </c>
      <c r="O103" s="5" t="n">
        <f aca="false">M103-IF(AND(Tickers!D103="SMALLCAP100",Macro!$B$26&lt;40),Control!$B$11,0)</f>
        <v>50.7</v>
      </c>
      <c r="P103" s="3" t="str">
        <f aca="false">IF(B103=FALSE(),"-",IF(O103&gt;=Control!$B$7,"BUY",IF(O103&gt;=Control!$B$8,"ACCUMULATE",IF(O103&gt;=Control!$B$9,"HOLD","AVOID"))))</f>
        <v>-</v>
      </c>
      <c r="Q103" s="3" t="str">
        <f aca="false">IF(B103=FALSE(),"",IF(OR(O103&gt;=72,O103&lt;=32),"High",IF(OR(O103&gt;=62,O103&lt;=42),"Medium","Low")))</f>
        <v/>
      </c>
      <c r="R103" s="12" t="n">
        <f aca="false">IF(P103="BUY",Control!$B$12,IF(P103="ACCUMULATE",Control!$B$13,0))</f>
        <v>0</v>
      </c>
      <c r="S103" s="3" t="str">
        <f aca="false">IF(B103=FALSE(),"",IF(T103=C103,"Rich valuation",IF(T103=E103,"Weak growth",IF(T103=F103,"Balance-sheet leverage",IF(T103=I103,"Negative momentum","High volatility/drawdown")))))</f>
        <v/>
      </c>
      <c r="T103" s="3" t="n">
        <f aca="false">MIN(C103,E103,F103,I103,J103)</f>
        <v>50</v>
      </c>
      <c r="U103" s="3" t="n">
        <f aca="false">IF(B103=TRUE(),N103,-1000+ROW()/1000000)</f>
        <v>-999.999897</v>
      </c>
    </row>
    <row r="104" customFormat="false" ht="15" hidden="false" customHeight="false" outlineLevel="0" collapsed="false">
      <c r="A104" s="7" t="str">
        <f aca="false">Tickers!A104</f>
        <v>IKS</v>
      </c>
      <c r="B104" s="19" t="b">
        <f aca="false">Tickers!F104</f>
        <v>0</v>
      </c>
      <c r="C104" s="5" t="n">
        <f aca="false">AVERAGE(IF(NOT(ISNUMBER(Fundamentals!C104)),50,IF(Fundamentals!C104&lt;=0,15,100*(1-(SUMPRODUCT(($B$2:$B$151=TRUE())*ISNUMBER(Fundamentals!$C$2:$C$151)*(Fundamentals!$C$2:$C$151&gt;0)*(Fundamentals!$C$2:$C$151&lt;Fundamentals!C104))/MAX(1,SUMPRODUCT(($B$2:$B$151=TRUE())*ISNUMBER(Fundamentals!$C$2:$C$151)*(Fundamentals!$C$2:$C$151&gt;0))))))),IF(NOT(ISNUMBER(Fundamentals!E104)),50,IF(Fundamentals!E104&lt;=0,15,100*(1-(SUMPRODUCT(($B$2:$B$151=TRUE())*ISNUMBER(Fundamentals!$E$2:$E$151)*(Fundamentals!$E$2:$E$151&gt;0)*(Fundamentals!$E$2:$E$151&lt;Fundamentals!E104))/MAX(1,SUMPRODUCT(($B$2:$B$151=TRUE())*ISNUMBER(Fundamentals!$E$2:$E$151)*(Fundamentals!$E$2:$E$151&gt;0))))))))</f>
        <v>50</v>
      </c>
      <c r="D104" s="5" t="n">
        <f aca="false">AVERAGE(IF(NOT(ISNUMBER(Fundamentals!F104)),50,100*(SUMPRODUCT(($B$2:$B$151=TRUE())*ISNUMBER(Fundamentals!$F$2:$F$151)*(Fundamentals!$F$2:$F$151&lt;Fundamentals!F104))/MAX(1,SUMPRODUCT(($B$2:$B$151=TRUE())*ISNUMBER(Fundamentals!$F$2:$F$151))))),IF(NOT(ISNUMBER(Fundamentals!J104)),50,100*(SUMPRODUCT(($B$2:$B$151=TRUE())*ISNUMBER(Fundamentals!$J$2:$J$151)*(Fundamentals!$J$2:$J$151&lt;Fundamentals!J104))/MAX(1,SUMPRODUCT(($B$2:$B$151=TRUE())*ISNUMBER(Fundamentals!$J$2:$J$151))))))</f>
        <v>50</v>
      </c>
      <c r="E104" s="5" t="n">
        <f aca="false">AVERAGE(IF(NOT(ISNUMBER(Fundamentals!H104)),50,100*(SUMPRODUCT(($B$2:$B$151=TRUE())*ISNUMBER(Fundamentals!$H$2:$H$151)*(Fundamentals!$H$2:$H$151&lt;Fundamentals!H104))/MAX(1,SUMPRODUCT(($B$2:$B$151=TRUE())*ISNUMBER(Fundamentals!$H$2:$H$151))))),IF(NOT(ISNUMBER(Fundamentals!I104)),50,100*(SUMPRODUCT(($B$2:$B$151=TRUE())*ISNUMBER(Fundamentals!$I$2:$I$151)*(Fundamentals!$I$2:$I$151&lt;Fundamentals!I104))/MAX(1,SUMPRODUCT(($B$2:$B$151=TRUE())*ISNUMBER(Fundamentals!$I$2:$I$151))))))</f>
        <v>50</v>
      </c>
      <c r="F104" s="5" t="n">
        <f aca="false">IF(Tickers!C104="Financial Services",50,IF(NOT(ISNUMBER(Fundamentals!G104)),50,100*(1-(SUMPRODUCT(($B$2:$B$151=TRUE())*ISNUMBER(Fundamentals!$G$2:$G$151)*(Fundamentals!$G$2:$G$151&lt;Fundamentals!G104))/MAX(1,SUMPRODUCT(($B$2:$B$151=TRUE())*ISNUMBER(Fundamentals!$G$2:$G$151)))))))</f>
        <v>50</v>
      </c>
      <c r="G104" s="5" t="n">
        <f aca="false">AVERAGE(C104:F104)</f>
        <v>50</v>
      </c>
      <c r="H104" s="5" t="n">
        <f aca="false">MIN(100,MAX(0,IF(NOT(ISNUMBER(PriceMetrics!K104)),50,100*(SUMPRODUCT(($B$2:$B$151=TRUE())*ISNUMBER(PriceMetrics!$K$2:$K$151)*(PriceMetrics!$K$2:$K$151&lt;PriceMetrics!K104))/MAX(1,SUMPRODUCT(($B$2:$B$151=TRUE())*ISNUMBER(PriceMetrics!$K$2:$K$151)))))+IF(ISNUMBER(PriceMetrics!L104),10*PriceMetrics!L104,0)))</f>
        <v>50</v>
      </c>
      <c r="I104" s="5" t="n">
        <f aca="false">0.6*IF(NOT(ISNUMBER(PriceMetrics!P104)),50,100*(SUMPRODUCT(($B$2:$B$151=TRUE())*ISNUMBER(PriceMetrics!$P$2:$P$151)*(PriceMetrics!$P$2:$P$151&lt;PriceMetrics!P104))/MAX(1,SUMPRODUCT(($B$2:$B$151=TRUE())*ISNUMBER(PriceMetrics!$P$2:$P$151)))))+0.4*IF(NOT(ISNUMBER(PriceMetrics!H104)),50,IF(PriceMetrics!H104&gt;70,40,IF(PriceMetrics!H104&gt;=50,100,IF(PriceMetrics!H104&gt;=35,60,30))))</f>
        <v>50</v>
      </c>
      <c r="J104" s="5" t="n">
        <f aca="false">AVERAGE(IF(NOT(ISNUMBER(PriceMetrics!F104)),50,100*(1-(SUMPRODUCT(($B$2:$B$151=TRUE())*ISNUMBER(PriceMetrics!$F$2:$F$151)*(PriceMetrics!$F$2:$F$151&lt;PriceMetrics!F104))/MAX(1,SUMPRODUCT(($B$2:$B$151=TRUE())*ISNUMBER(PriceMetrics!$F$2:$F$151)))))),IF(NOT(ISNUMBER(PriceMetrics!G104)),50,100*(1-(SUMPRODUCT(($B$2:$B$151=TRUE())*ISNUMBER(PriceMetrics!$G$2:$G$151)*(ABS(PriceMetrics!$G$2:$G$151)&lt;ABS(PriceMetrics!G104)))/MAX(1,SUMPRODUCT(($B$2:$B$151=TRUE())*ISNUMBER(PriceMetrics!$G$2:$G$151)))))))</f>
        <v>50</v>
      </c>
      <c r="K104" s="5" t="n">
        <f aca="false">AVERAGE(H104:J104)</f>
        <v>50</v>
      </c>
      <c r="L104" s="8" t="n">
        <f aca="false">Macro!$B$26</f>
        <v>53.5</v>
      </c>
      <c r="M104" s="5" t="n">
        <f aca="false">Control!$B$3*100*G104/100+Control!$B$4*K104+Control!$B$5*L104</f>
        <v>50.7</v>
      </c>
      <c r="N104" s="3" t="n">
        <f aca="false">M104+ROW()/1000000</f>
        <v>50.700104</v>
      </c>
      <c r="O104" s="5" t="n">
        <f aca="false">M104-IF(AND(Tickers!D104="SMALLCAP100",Macro!$B$26&lt;40),Control!$B$11,0)</f>
        <v>50.7</v>
      </c>
      <c r="P104" s="3" t="str">
        <f aca="false">IF(B104=FALSE(),"-",IF(O104&gt;=Control!$B$7,"BUY",IF(O104&gt;=Control!$B$8,"ACCUMULATE",IF(O104&gt;=Control!$B$9,"HOLD","AVOID"))))</f>
        <v>-</v>
      </c>
      <c r="Q104" s="3" t="str">
        <f aca="false">IF(B104=FALSE(),"",IF(OR(O104&gt;=72,O104&lt;=32),"High",IF(OR(O104&gt;=62,O104&lt;=42),"Medium","Low")))</f>
        <v/>
      </c>
      <c r="R104" s="12" t="n">
        <f aca="false">IF(P104="BUY",Control!$B$12,IF(P104="ACCUMULATE",Control!$B$13,0))</f>
        <v>0</v>
      </c>
      <c r="S104" s="3" t="str">
        <f aca="false">IF(B104=FALSE(),"",IF(T104=C104,"Rich valuation",IF(T104=E104,"Weak growth",IF(T104=F104,"Balance-sheet leverage",IF(T104=I104,"Negative momentum","High volatility/drawdown")))))</f>
        <v/>
      </c>
      <c r="T104" s="3" t="n">
        <f aca="false">MIN(C104,E104,F104,I104,J104)</f>
        <v>50</v>
      </c>
      <c r="U104" s="3" t="n">
        <f aca="false">IF(B104=TRUE(),N104,-1000+ROW()/1000000)</f>
        <v>-999.999896</v>
      </c>
    </row>
    <row r="105" customFormat="false" ht="15" hidden="false" customHeight="false" outlineLevel="0" collapsed="false">
      <c r="A105" s="7" t="str">
        <f aca="false">Tickers!A105</f>
        <v>JBMA</v>
      </c>
      <c r="B105" s="19" t="b">
        <f aca="false">Tickers!F105</f>
        <v>0</v>
      </c>
      <c r="C105" s="5" t="n">
        <f aca="false">AVERAGE(IF(NOT(ISNUMBER(Fundamentals!C105)),50,IF(Fundamentals!C105&lt;=0,15,100*(1-(SUMPRODUCT(($B$2:$B$151=TRUE())*ISNUMBER(Fundamentals!$C$2:$C$151)*(Fundamentals!$C$2:$C$151&gt;0)*(Fundamentals!$C$2:$C$151&lt;Fundamentals!C105))/MAX(1,SUMPRODUCT(($B$2:$B$151=TRUE())*ISNUMBER(Fundamentals!$C$2:$C$151)*(Fundamentals!$C$2:$C$151&gt;0))))))),IF(NOT(ISNUMBER(Fundamentals!E105)),50,IF(Fundamentals!E105&lt;=0,15,100*(1-(SUMPRODUCT(($B$2:$B$151=TRUE())*ISNUMBER(Fundamentals!$E$2:$E$151)*(Fundamentals!$E$2:$E$151&gt;0)*(Fundamentals!$E$2:$E$151&lt;Fundamentals!E105))/MAX(1,SUMPRODUCT(($B$2:$B$151=TRUE())*ISNUMBER(Fundamentals!$E$2:$E$151)*(Fundamentals!$E$2:$E$151&gt;0))))))))</f>
        <v>50</v>
      </c>
      <c r="D105" s="5" t="n">
        <f aca="false">AVERAGE(IF(NOT(ISNUMBER(Fundamentals!F105)),50,100*(SUMPRODUCT(($B$2:$B$151=TRUE())*ISNUMBER(Fundamentals!$F$2:$F$151)*(Fundamentals!$F$2:$F$151&lt;Fundamentals!F105))/MAX(1,SUMPRODUCT(($B$2:$B$151=TRUE())*ISNUMBER(Fundamentals!$F$2:$F$151))))),IF(NOT(ISNUMBER(Fundamentals!J105)),50,100*(SUMPRODUCT(($B$2:$B$151=TRUE())*ISNUMBER(Fundamentals!$J$2:$J$151)*(Fundamentals!$J$2:$J$151&lt;Fundamentals!J105))/MAX(1,SUMPRODUCT(($B$2:$B$151=TRUE())*ISNUMBER(Fundamentals!$J$2:$J$151))))))</f>
        <v>50</v>
      </c>
      <c r="E105" s="5" t="n">
        <f aca="false">AVERAGE(IF(NOT(ISNUMBER(Fundamentals!H105)),50,100*(SUMPRODUCT(($B$2:$B$151=TRUE())*ISNUMBER(Fundamentals!$H$2:$H$151)*(Fundamentals!$H$2:$H$151&lt;Fundamentals!H105))/MAX(1,SUMPRODUCT(($B$2:$B$151=TRUE())*ISNUMBER(Fundamentals!$H$2:$H$151))))),IF(NOT(ISNUMBER(Fundamentals!I105)),50,100*(SUMPRODUCT(($B$2:$B$151=TRUE())*ISNUMBER(Fundamentals!$I$2:$I$151)*(Fundamentals!$I$2:$I$151&lt;Fundamentals!I105))/MAX(1,SUMPRODUCT(($B$2:$B$151=TRUE())*ISNUMBER(Fundamentals!$I$2:$I$151))))))</f>
        <v>50</v>
      </c>
      <c r="F105" s="5" t="n">
        <f aca="false">IF(Tickers!C105="Financial Services",50,IF(NOT(ISNUMBER(Fundamentals!G105)),50,100*(1-(SUMPRODUCT(($B$2:$B$151=TRUE())*ISNUMBER(Fundamentals!$G$2:$G$151)*(Fundamentals!$G$2:$G$151&lt;Fundamentals!G105))/MAX(1,SUMPRODUCT(($B$2:$B$151=TRUE())*ISNUMBER(Fundamentals!$G$2:$G$151)))))))</f>
        <v>50</v>
      </c>
      <c r="G105" s="5" t="n">
        <f aca="false">AVERAGE(C105:F105)</f>
        <v>50</v>
      </c>
      <c r="H105" s="5" t="n">
        <f aca="false">MIN(100,MAX(0,IF(NOT(ISNUMBER(PriceMetrics!K105)),50,100*(SUMPRODUCT(($B$2:$B$151=TRUE())*ISNUMBER(PriceMetrics!$K$2:$K$151)*(PriceMetrics!$K$2:$K$151&lt;PriceMetrics!K105))/MAX(1,SUMPRODUCT(($B$2:$B$151=TRUE())*ISNUMBER(PriceMetrics!$K$2:$K$151)))))+IF(ISNUMBER(PriceMetrics!L105),10*PriceMetrics!L105,0)))</f>
        <v>50</v>
      </c>
      <c r="I105" s="5" t="n">
        <f aca="false">0.6*IF(NOT(ISNUMBER(PriceMetrics!P105)),50,100*(SUMPRODUCT(($B$2:$B$151=TRUE())*ISNUMBER(PriceMetrics!$P$2:$P$151)*(PriceMetrics!$P$2:$P$151&lt;PriceMetrics!P105))/MAX(1,SUMPRODUCT(($B$2:$B$151=TRUE())*ISNUMBER(PriceMetrics!$P$2:$P$151)))))+0.4*IF(NOT(ISNUMBER(PriceMetrics!H105)),50,IF(PriceMetrics!H105&gt;70,40,IF(PriceMetrics!H105&gt;=50,100,IF(PriceMetrics!H105&gt;=35,60,30))))</f>
        <v>50</v>
      </c>
      <c r="J105" s="5" t="n">
        <f aca="false">AVERAGE(IF(NOT(ISNUMBER(PriceMetrics!F105)),50,100*(1-(SUMPRODUCT(($B$2:$B$151=TRUE())*ISNUMBER(PriceMetrics!$F$2:$F$151)*(PriceMetrics!$F$2:$F$151&lt;PriceMetrics!F105))/MAX(1,SUMPRODUCT(($B$2:$B$151=TRUE())*ISNUMBER(PriceMetrics!$F$2:$F$151)))))),IF(NOT(ISNUMBER(PriceMetrics!G105)),50,100*(1-(SUMPRODUCT(($B$2:$B$151=TRUE())*ISNUMBER(PriceMetrics!$G$2:$G$151)*(ABS(PriceMetrics!$G$2:$G$151)&lt;ABS(PriceMetrics!G105)))/MAX(1,SUMPRODUCT(($B$2:$B$151=TRUE())*ISNUMBER(PriceMetrics!$G$2:$G$151)))))))</f>
        <v>50</v>
      </c>
      <c r="K105" s="5" t="n">
        <f aca="false">AVERAGE(H105:J105)</f>
        <v>50</v>
      </c>
      <c r="L105" s="8" t="n">
        <f aca="false">Macro!$B$26</f>
        <v>53.5</v>
      </c>
      <c r="M105" s="5" t="n">
        <f aca="false">Control!$B$3*100*G105/100+Control!$B$4*K105+Control!$B$5*L105</f>
        <v>50.7</v>
      </c>
      <c r="N105" s="3" t="n">
        <f aca="false">M105+ROW()/1000000</f>
        <v>50.700105</v>
      </c>
      <c r="O105" s="5" t="n">
        <f aca="false">M105-IF(AND(Tickers!D105="SMALLCAP100",Macro!$B$26&lt;40),Control!$B$11,0)</f>
        <v>50.7</v>
      </c>
      <c r="P105" s="3" t="str">
        <f aca="false">IF(B105=FALSE(),"-",IF(O105&gt;=Control!$B$7,"BUY",IF(O105&gt;=Control!$B$8,"ACCUMULATE",IF(O105&gt;=Control!$B$9,"HOLD","AVOID"))))</f>
        <v>-</v>
      </c>
      <c r="Q105" s="3" t="str">
        <f aca="false">IF(B105=FALSE(),"",IF(OR(O105&gt;=72,O105&lt;=32),"High",IF(OR(O105&gt;=62,O105&lt;=42),"Medium","Low")))</f>
        <v/>
      </c>
      <c r="R105" s="12" t="n">
        <f aca="false">IF(P105="BUY",Control!$B$12,IF(P105="ACCUMULATE",Control!$B$13,0))</f>
        <v>0</v>
      </c>
      <c r="S105" s="3" t="str">
        <f aca="false">IF(B105=FALSE(),"",IF(T105=C105,"Rich valuation",IF(T105=E105,"Weak growth",IF(T105=F105,"Balance-sheet leverage",IF(T105=I105,"Negative momentum","High volatility/drawdown")))))</f>
        <v/>
      </c>
      <c r="T105" s="3" t="n">
        <f aca="false">MIN(C105,E105,F105,I105,J105)</f>
        <v>50</v>
      </c>
      <c r="U105" s="3" t="n">
        <f aca="false">IF(B105=TRUE(),N105,-1000+ROW()/1000000)</f>
        <v>-999.999895</v>
      </c>
    </row>
    <row r="106" customFormat="false" ht="15" hidden="false" customHeight="false" outlineLevel="0" collapsed="false">
      <c r="A106" s="7" t="str">
        <f aca="false">Tickers!A106</f>
        <v>JMFINANCIL</v>
      </c>
      <c r="B106" s="19" t="b">
        <f aca="false">Tickers!F106</f>
        <v>0</v>
      </c>
      <c r="C106" s="5" t="n">
        <f aca="false">AVERAGE(IF(NOT(ISNUMBER(Fundamentals!C106)),50,IF(Fundamentals!C106&lt;=0,15,100*(1-(SUMPRODUCT(($B$2:$B$151=TRUE())*ISNUMBER(Fundamentals!$C$2:$C$151)*(Fundamentals!$C$2:$C$151&gt;0)*(Fundamentals!$C$2:$C$151&lt;Fundamentals!C106))/MAX(1,SUMPRODUCT(($B$2:$B$151=TRUE())*ISNUMBER(Fundamentals!$C$2:$C$151)*(Fundamentals!$C$2:$C$151&gt;0))))))),IF(NOT(ISNUMBER(Fundamentals!E106)),50,IF(Fundamentals!E106&lt;=0,15,100*(1-(SUMPRODUCT(($B$2:$B$151=TRUE())*ISNUMBER(Fundamentals!$E$2:$E$151)*(Fundamentals!$E$2:$E$151&gt;0)*(Fundamentals!$E$2:$E$151&lt;Fundamentals!E106))/MAX(1,SUMPRODUCT(($B$2:$B$151=TRUE())*ISNUMBER(Fundamentals!$E$2:$E$151)*(Fundamentals!$E$2:$E$151&gt;0))))))))</f>
        <v>50</v>
      </c>
      <c r="D106" s="5" t="n">
        <f aca="false">AVERAGE(IF(NOT(ISNUMBER(Fundamentals!F106)),50,100*(SUMPRODUCT(($B$2:$B$151=TRUE())*ISNUMBER(Fundamentals!$F$2:$F$151)*(Fundamentals!$F$2:$F$151&lt;Fundamentals!F106))/MAX(1,SUMPRODUCT(($B$2:$B$151=TRUE())*ISNUMBER(Fundamentals!$F$2:$F$151))))),IF(NOT(ISNUMBER(Fundamentals!J106)),50,100*(SUMPRODUCT(($B$2:$B$151=TRUE())*ISNUMBER(Fundamentals!$J$2:$J$151)*(Fundamentals!$J$2:$J$151&lt;Fundamentals!J106))/MAX(1,SUMPRODUCT(($B$2:$B$151=TRUE())*ISNUMBER(Fundamentals!$J$2:$J$151))))))</f>
        <v>50</v>
      </c>
      <c r="E106" s="5" t="n">
        <f aca="false">AVERAGE(IF(NOT(ISNUMBER(Fundamentals!H106)),50,100*(SUMPRODUCT(($B$2:$B$151=TRUE())*ISNUMBER(Fundamentals!$H$2:$H$151)*(Fundamentals!$H$2:$H$151&lt;Fundamentals!H106))/MAX(1,SUMPRODUCT(($B$2:$B$151=TRUE())*ISNUMBER(Fundamentals!$H$2:$H$151))))),IF(NOT(ISNUMBER(Fundamentals!I106)),50,100*(SUMPRODUCT(($B$2:$B$151=TRUE())*ISNUMBER(Fundamentals!$I$2:$I$151)*(Fundamentals!$I$2:$I$151&lt;Fundamentals!I106))/MAX(1,SUMPRODUCT(($B$2:$B$151=TRUE())*ISNUMBER(Fundamentals!$I$2:$I$151))))))</f>
        <v>50</v>
      </c>
      <c r="F106" s="5" t="n">
        <f aca="false">IF(Tickers!C106="Financial Services",50,IF(NOT(ISNUMBER(Fundamentals!G106)),50,100*(1-(SUMPRODUCT(($B$2:$B$151=TRUE())*ISNUMBER(Fundamentals!$G$2:$G$151)*(Fundamentals!$G$2:$G$151&lt;Fundamentals!G106))/MAX(1,SUMPRODUCT(($B$2:$B$151=TRUE())*ISNUMBER(Fundamentals!$G$2:$G$151)))))))</f>
        <v>50</v>
      </c>
      <c r="G106" s="5" t="n">
        <f aca="false">AVERAGE(C106:F106)</f>
        <v>50</v>
      </c>
      <c r="H106" s="5" t="n">
        <f aca="false">MIN(100,MAX(0,IF(NOT(ISNUMBER(PriceMetrics!K106)),50,100*(SUMPRODUCT(($B$2:$B$151=TRUE())*ISNUMBER(PriceMetrics!$K$2:$K$151)*(PriceMetrics!$K$2:$K$151&lt;PriceMetrics!K106))/MAX(1,SUMPRODUCT(($B$2:$B$151=TRUE())*ISNUMBER(PriceMetrics!$K$2:$K$151)))))+IF(ISNUMBER(PriceMetrics!L106),10*PriceMetrics!L106,0)))</f>
        <v>50</v>
      </c>
      <c r="I106" s="5" t="n">
        <f aca="false">0.6*IF(NOT(ISNUMBER(PriceMetrics!P106)),50,100*(SUMPRODUCT(($B$2:$B$151=TRUE())*ISNUMBER(PriceMetrics!$P$2:$P$151)*(PriceMetrics!$P$2:$P$151&lt;PriceMetrics!P106))/MAX(1,SUMPRODUCT(($B$2:$B$151=TRUE())*ISNUMBER(PriceMetrics!$P$2:$P$151)))))+0.4*IF(NOT(ISNUMBER(PriceMetrics!H106)),50,IF(PriceMetrics!H106&gt;70,40,IF(PriceMetrics!H106&gt;=50,100,IF(PriceMetrics!H106&gt;=35,60,30))))</f>
        <v>50</v>
      </c>
      <c r="J106" s="5" t="n">
        <f aca="false">AVERAGE(IF(NOT(ISNUMBER(PriceMetrics!F106)),50,100*(1-(SUMPRODUCT(($B$2:$B$151=TRUE())*ISNUMBER(PriceMetrics!$F$2:$F$151)*(PriceMetrics!$F$2:$F$151&lt;PriceMetrics!F106))/MAX(1,SUMPRODUCT(($B$2:$B$151=TRUE())*ISNUMBER(PriceMetrics!$F$2:$F$151)))))),IF(NOT(ISNUMBER(PriceMetrics!G106)),50,100*(1-(SUMPRODUCT(($B$2:$B$151=TRUE())*ISNUMBER(PriceMetrics!$G$2:$G$151)*(ABS(PriceMetrics!$G$2:$G$151)&lt;ABS(PriceMetrics!G106)))/MAX(1,SUMPRODUCT(($B$2:$B$151=TRUE())*ISNUMBER(PriceMetrics!$G$2:$G$151)))))))</f>
        <v>50</v>
      </c>
      <c r="K106" s="5" t="n">
        <f aca="false">AVERAGE(H106:J106)</f>
        <v>50</v>
      </c>
      <c r="L106" s="8" t="n">
        <f aca="false">Macro!$B$26</f>
        <v>53.5</v>
      </c>
      <c r="M106" s="5" t="n">
        <f aca="false">Control!$B$3*100*G106/100+Control!$B$4*K106+Control!$B$5*L106</f>
        <v>50.7</v>
      </c>
      <c r="N106" s="3" t="n">
        <f aca="false">M106+ROW()/1000000</f>
        <v>50.700106</v>
      </c>
      <c r="O106" s="5" t="n">
        <f aca="false">M106-IF(AND(Tickers!D106="SMALLCAP100",Macro!$B$26&lt;40),Control!$B$11,0)</f>
        <v>50.7</v>
      </c>
      <c r="P106" s="3" t="str">
        <f aca="false">IF(B106=FALSE(),"-",IF(O106&gt;=Control!$B$7,"BUY",IF(O106&gt;=Control!$B$8,"ACCUMULATE",IF(O106&gt;=Control!$B$9,"HOLD","AVOID"))))</f>
        <v>-</v>
      </c>
      <c r="Q106" s="3" t="str">
        <f aca="false">IF(B106=FALSE(),"",IF(OR(O106&gt;=72,O106&lt;=32),"High",IF(OR(O106&gt;=62,O106&lt;=42),"Medium","Low")))</f>
        <v/>
      </c>
      <c r="R106" s="12" t="n">
        <f aca="false">IF(P106="BUY",Control!$B$12,IF(P106="ACCUMULATE",Control!$B$13,0))</f>
        <v>0</v>
      </c>
      <c r="S106" s="3" t="str">
        <f aca="false">IF(B106=FALSE(),"",IF(T106=C106,"Rich valuation",IF(T106=E106,"Weak growth",IF(T106=F106,"Balance-sheet leverage",IF(T106=I106,"Negative momentum","High volatility/drawdown")))))</f>
        <v/>
      </c>
      <c r="T106" s="3" t="n">
        <f aca="false">MIN(C106,E106,F106,I106,J106)</f>
        <v>50</v>
      </c>
      <c r="U106" s="3" t="n">
        <f aca="false">IF(B106=TRUE(),N106,-1000+ROW()/1000000)</f>
        <v>-999.999894</v>
      </c>
    </row>
    <row r="107" customFormat="false" ht="15" hidden="false" customHeight="false" outlineLevel="0" collapsed="false">
      <c r="A107" s="7" t="str">
        <f aca="false">Tickers!A107</f>
        <v>JSWCEMENT</v>
      </c>
      <c r="B107" s="19" t="b">
        <f aca="false">Tickers!F107</f>
        <v>0</v>
      </c>
      <c r="C107" s="5" t="n">
        <f aca="false">AVERAGE(IF(NOT(ISNUMBER(Fundamentals!C107)),50,IF(Fundamentals!C107&lt;=0,15,100*(1-(SUMPRODUCT(($B$2:$B$151=TRUE())*ISNUMBER(Fundamentals!$C$2:$C$151)*(Fundamentals!$C$2:$C$151&gt;0)*(Fundamentals!$C$2:$C$151&lt;Fundamentals!C107))/MAX(1,SUMPRODUCT(($B$2:$B$151=TRUE())*ISNUMBER(Fundamentals!$C$2:$C$151)*(Fundamentals!$C$2:$C$151&gt;0))))))),IF(NOT(ISNUMBER(Fundamentals!E107)),50,IF(Fundamentals!E107&lt;=0,15,100*(1-(SUMPRODUCT(($B$2:$B$151=TRUE())*ISNUMBER(Fundamentals!$E$2:$E$151)*(Fundamentals!$E$2:$E$151&gt;0)*(Fundamentals!$E$2:$E$151&lt;Fundamentals!E107))/MAX(1,SUMPRODUCT(($B$2:$B$151=TRUE())*ISNUMBER(Fundamentals!$E$2:$E$151)*(Fundamentals!$E$2:$E$151&gt;0))))))))</f>
        <v>50</v>
      </c>
      <c r="D107" s="5" t="n">
        <f aca="false">AVERAGE(IF(NOT(ISNUMBER(Fundamentals!F107)),50,100*(SUMPRODUCT(($B$2:$B$151=TRUE())*ISNUMBER(Fundamentals!$F$2:$F$151)*(Fundamentals!$F$2:$F$151&lt;Fundamentals!F107))/MAX(1,SUMPRODUCT(($B$2:$B$151=TRUE())*ISNUMBER(Fundamentals!$F$2:$F$151))))),IF(NOT(ISNUMBER(Fundamentals!J107)),50,100*(SUMPRODUCT(($B$2:$B$151=TRUE())*ISNUMBER(Fundamentals!$J$2:$J$151)*(Fundamentals!$J$2:$J$151&lt;Fundamentals!J107))/MAX(1,SUMPRODUCT(($B$2:$B$151=TRUE())*ISNUMBER(Fundamentals!$J$2:$J$151))))))</f>
        <v>50</v>
      </c>
      <c r="E107" s="5" t="n">
        <f aca="false">AVERAGE(IF(NOT(ISNUMBER(Fundamentals!H107)),50,100*(SUMPRODUCT(($B$2:$B$151=TRUE())*ISNUMBER(Fundamentals!$H$2:$H$151)*(Fundamentals!$H$2:$H$151&lt;Fundamentals!H107))/MAX(1,SUMPRODUCT(($B$2:$B$151=TRUE())*ISNUMBER(Fundamentals!$H$2:$H$151))))),IF(NOT(ISNUMBER(Fundamentals!I107)),50,100*(SUMPRODUCT(($B$2:$B$151=TRUE())*ISNUMBER(Fundamentals!$I$2:$I$151)*(Fundamentals!$I$2:$I$151&lt;Fundamentals!I107))/MAX(1,SUMPRODUCT(($B$2:$B$151=TRUE())*ISNUMBER(Fundamentals!$I$2:$I$151))))))</f>
        <v>50</v>
      </c>
      <c r="F107" s="5" t="n">
        <f aca="false">IF(Tickers!C107="Financial Services",50,IF(NOT(ISNUMBER(Fundamentals!G107)),50,100*(1-(SUMPRODUCT(($B$2:$B$151=TRUE())*ISNUMBER(Fundamentals!$G$2:$G$151)*(Fundamentals!$G$2:$G$151&lt;Fundamentals!G107))/MAX(1,SUMPRODUCT(($B$2:$B$151=TRUE())*ISNUMBER(Fundamentals!$G$2:$G$151)))))))</f>
        <v>50</v>
      </c>
      <c r="G107" s="5" t="n">
        <f aca="false">AVERAGE(C107:F107)</f>
        <v>50</v>
      </c>
      <c r="H107" s="5" t="n">
        <f aca="false">MIN(100,MAX(0,IF(NOT(ISNUMBER(PriceMetrics!K107)),50,100*(SUMPRODUCT(($B$2:$B$151=TRUE())*ISNUMBER(PriceMetrics!$K$2:$K$151)*(PriceMetrics!$K$2:$K$151&lt;PriceMetrics!K107))/MAX(1,SUMPRODUCT(($B$2:$B$151=TRUE())*ISNUMBER(PriceMetrics!$K$2:$K$151)))))+IF(ISNUMBER(PriceMetrics!L107),10*PriceMetrics!L107,0)))</f>
        <v>50</v>
      </c>
      <c r="I107" s="5" t="n">
        <f aca="false">0.6*IF(NOT(ISNUMBER(PriceMetrics!P107)),50,100*(SUMPRODUCT(($B$2:$B$151=TRUE())*ISNUMBER(PriceMetrics!$P$2:$P$151)*(PriceMetrics!$P$2:$P$151&lt;PriceMetrics!P107))/MAX(1,SUMPRODUCT(($B$2:$B$151=TRUE())*ISNUMBER(PriceMetrics!$P$2:$P$151)))))+0.4*IF(NOT(ISNUMBER(PriceMetrics!H107)),50,IF(PriceMetrics!H107&gt;70,40,IF(PriceMetrics!H107&gt;=50,100,IF(PriceMetrics!H107&gt;=35,60,30))))</f>
        <v>50</v>
      </c>
      <c r="J107" s="5" t="n">
        <f aca="false">AVERAGE(IF(NOT(ISNUMBER(PriceMetrics!F107)),50,100*(1-(SUMPRODUCT(($B$2:$B$151=TRUE())*ISNUMBER(PriceMetrics!$F$2:$F$151)*(PriceMetrics!$F$2:$F$151&lt;PriceMetrics!F107))/MAX(1,SUMPRODUCT(($B$2:$B$151=TRUE())*ISNUMBER(PriceMetrics!$F$2:$F$151)))))),IF(NOT(ISNUMBER(PriceMetrics!G107)),50,100*(1-(SUMPRODUCT(($B$2:$B$151=TRUE())*ISNUMBER(PriceMetrics!$G$2:$G$151)*(ABS(PriceMetrics!$G$2:$G$151)&lt;ABS(PriceMetrics!G107)))/MAX(1,SUMPRODUCT(($B$2:$B$151=TRUE())*ISNUMBER(PriceMetrics!$G$2:$G$151)))))))</f>
        <v>50</v>
      </c>
      <c r="K107" s="5" t="n">
        <f aca="false">AVERAGE(H107:J107)</f>
        <v>50</v>
      </c>
      <c r="L107" s="8" t="n">
        <f aca="false">Macro!$B$26</f>
        <v>53.5</v>
      </c>
      <c r="M107" s="5" t="n">
        <f aca="false">Control!$B$3*100*G107/100+Control!$B$4*K107+Control!$B$5*L107</f>
        <v>50.7</v>
      </c>
      <c r="N107" s="3" t="n">
        <f aca="false">M107+ROW()/1000000</f>
        <v>50.700107</v>
      </c>
      <c r="O107" s="5" t="n">
        <f aca="false">M107-IF(AND(Tickers!D107="SMALLCAP100",Macro!$B$26&lt;40),Control!$B$11,0)</f>
        <v>50.7</v>
      </c>
      <c r="P107" s="3" t="str">
        <f aca="false">IF(B107=FALSE(),"-",IF(O107&gt;=Control!$B$7,"BUY",IF(O107&gt;=Control!$B$8,"ACCUMULATE",IF(O107&gt;=Control!$B$9,"HOLD","AVOID"))))</f>
        <v>-</v>
      </c>
      <c r="Q107" s="3" t="str">
        <f aca="false">IF(B107=FALSE(),"",IF(OR(O107&gt;=72,O107&lt;=32),"High",IF(OR(O107&gt;=62,O107&lt;=42),"Medium","Low")))</f>
        <v/>
      </c>
      <c r="R107" s="12" t="n">
        <f aca="false">IF(P107="BUY",Control!$B$12,IF(P107="ACCUMULATE",Control!$B$13,0))</f>
        <v>0</v>
      </c>
      <c r="S107" s="3" t="str">
        <f aca="false">IF(B107=FALSE(),"",IF(T107=C107,"Rich valuation",IF(T107=E107,"Weak growth",IF(T107=F107,"Balance-sheet leverage",IF(T107=I107,"Negative momentum","High volatility/drawdown")))))</f>
        <v/>
      </c>
      <c r="T107" s="3" t="n">
        <f aca="false">MIN(C107,E107,F107,I107,J107)</f>
        <v>50</v>
      </c>
      <c r="U107" s="3" t="n">
        <f aca="false">IF(B107=TRUE(),N107,-1000+ROW()/1000000)</f>
        <v>-999.999893</v>
      </c>
    </row>
    <row r="108" customFormat="false" ht="15" hidden="false" customHeight="false" outlineLevel="0" collapsed="false">
      <c r="A108" s="7" t="str">
        <f aca="false">Tickers!A108</f>
        <v>JYOTICNC</v>
      </c>
      <c r="B108" s="19" t="b">
        <f aca="false">Tickers!F108</f>
        <v>0</v>
      </c>
      <c r="C108" s="5" t="n">
        <f aca="false">AVERAGE(IF(NOT(ISNUMBER(Fundamentals!C108)),50,IF(Fundamentals!C108&lt;=0,15,100*(1-(SUMPRODUCT(($B$2:$B$151=TRUE())*ISNUMBER(Fundamentals!$C$2:$C$151)*(Fundamentals!$C$2:$C$151&gt;0)*(Fundamentals!$C$2:$C$151&lt;Fundamentals!C108))/MAX(1,SUMPRODUCT(($B$2:$B$151=TRUE())*ISNUMBER(Fundamentals!$C$2:$C$151)*(Fundamentals!$C$2:$C$151&gt;0))))))),IF(NOT(ISNUMBER(Fundamentals!E108)),50,IF(Fundamentals!E108&lt;=0,15,100*(1-(SUMPRODUCT(($B$2:$B$151=TRUE())*ISNUMBER(Fundamentals!$E$2:$E$151)*(Fundamentals!$E$2:$E$151&gt;0)*(Fundamentals!$E$2:$E$151&lt;Fundamentals!E108))/MAX(1,SUMPRODUCT(($B$2:$B$151=TRUE())*ISNUMBER(Fundamentals!$E$2:$E$151)*(Fundamentals!$E$2:$E$151&gt;0))))))))</f>
        <v>50</v>
      </c>
      <c r="D108" s="5" t="n">
        <f aca="false">AVERAGE(IF(NOT(ISNUMBER(Fundamentals!F108)),50,100*(SUMPRODUCT(($B$2:$B$151=TRUE())*ISNUMBER(Fundamentals!$F$2:$F$151)*(Fundamentals!$F$2:$F$151&lt;Fundamentals!F108))/MAX(1,SUMPRODUCT(($B$2:$B$151=TRUE())*ISNUMBER(Fundamentals!$F$2:$F$151))))),IF(NOT(ISNUMBER(Fundamentals!J108)),50,100*(SUMPRODUCT(($B$2:$B$151=TRUE())*ISNUMBER(Fundamentals!$J$2:$J$151)*(Fundamentals!$J$2:$J$151&lt;Fundamentals!J108))/MAX(1,SUMPRODUCT(($B$2:$B$151=TRUE())*ISNUMBER(Fundamentals!$J$2:$J$151))))))</f>
        <v>50</v>
      </c>
      <c r="E108" s="5" t="n">
        <f aca="false">AVERAGE(IF(NOT(ISNUMBER(Fundamentals!H108)),50,100*(SUMPRODUCT(($B$2:$B$151=TRUE())*ISNUMBER(Fundamentals!$H$2:$H$151)*(Fundamentals!$H$2:$H$151&lt;Fundamentals!H108))/MAX(1,SUMPRODUCT(($B$2:$B$151=TRUE())*ISNUMBER(Fundamentals!$H$2:$H$151))))),IF(NOT(ISNUMBER(Fundamentals!I108)),50,100*(SUMPRODUCT(($B$2:$B$151=TRUE())*ISNUMBER(Fundamentals!$I$2:$I$151)*(Fundamentals!$I$2:$I$151&lt;Fundamentals!I108))/MAX(1,SUMPRODUCT(($B$2:$B$151=TRUE())*ISNUMBER(Fundamentals!$I$2:$I$151))))))</f>
        <v>50</v>
      </c>
      <c r="F108" s="5" t="n">
        <f aca="false">IF(Tickers!C108="Financial Services",50,IF(NOT(ISNUMBER(Fundamentals!G108)),50,100*(1-(SUMPRODUCT(($B$2:$B$151=TRUE())*ISNUMBER(Fundamentals!$G$2:$G$151)*(Fundamentals!$G$2:$G$151&lt;Fundamentals!G108))/MAX(1,SUMPRODUCT(($B$2:$B$151=TRUE())*ISNUMBER(Fundamentals!$G$2:$G$151)))))))</f>
        <v>50</v>
      </c>
      <c r="G108" s="5" t="n">
        <f aca="false">AVERAGE(C108:F108)</f>
        <v>50</v>
      </c>
      <c r="H108" s="5" t="n">
        <f aca="false">MIN(100,MAX(0,IF(NOT(ISNUMBER(PriceMetrics!K108)),50,100*(SUMPRODUCT(($B$2:$B$151=TRUE())*ISNUMBER(PriceMetrics!$K$2:$K$151)*(PriceMetrics!$K$2:$K$151&lt;PriceMetrics!K108))/MAX(1,SUMPRODUCT(($B$2:$B$151=TRUE())*ISNUMBER(PriceMetrics!$K$2:$K$151)))))+IF(ISNUMBER(PriceMetrics!L108),10*PriceMetrics!L108,0)))</f>
        <v>50</v>
      </c>
      <c r="I108" s="5" t="n">
        <f aca="false">0.6*IF(NOT(ISNUMBER(PriceMetrics!P108)),50,100*(SUMPRODUCT(($B$2:$B$151=TRUE())*ISNUMBER(PriceMetrics!$P$2:$P$151)*(PriceMetrics!$P$2:$P$151&lt;PriceMetrics!P108))/MAX(1,SUMPRODUCT(($B$2:$B$151=TRUE())*ISNUMBER(PriceMetrics!$P$2:$P$151)))))+0.4*IF(NOT(ISNUMBER(PriceMetrics!H108)),50,IF(PriceMetrics!H108&gt;70,40,IF(PriceMetrics!H108&gt;=50,100,IF(PriceMetrics!H108&gt;=35,60,30))))</f>
        <v>50</v>
      </c>
      <c r="J108" s="5" t="n">
        <f aca="false">AVERAGE(IF(NOT(ISNUMBER(PriceMetrics!F108)),50,100*(1-(SUMPRODUCT(($B$2:$B$151=TRUE())*ISNUMBER(PriceMetrics!$F$2:$F$151)*(PriceMetrics!$F$2:$F$151&lt;PriceMetrics!F108))/MAX(1,SUMPRODUCT(($B$2:$B$151=TRUE())*ISNUMBER(PriceMetrics!$F$2:$F$151)))))),IF(NOT(ISNUMBER(PriceMetrics!G108)),50,100*(1-(SUMPRODUCT(($B$2:$B$151=TRUE())*ISNUMBER(PriceMetrics!$G$2:$G$151)*(ABS(PriceMetrics!$G$2:$G$151)&lt;ABS(PriceMetrics!G108)))/MAX(1,SUMPRODUCT(($B$2:$B$151=TRUE())*ISNUMBER(PriceMetrics!$G$2:$G$151)))))))</f>
        <v>50</v>
      </c>
      <c r="K108" s="5" t="n">
        <f aca="false">AVERAGE(H108:J108)</f>
        <v>50</v>
      </c>
      <c r="L108" s="8" t="n">
        <f aca="false">Macro!$B$26</f>
        <v>53.5</v>
      </c>
      <c r="M108" s="5" t="n">
        <f aca="false">Control!$B$3*100*G108/100+Control!$B$4*K108+Control!$B$5*L108</f>
        <v>50.7</v>
      </c>
      <c r="N108" s="3" t="n">
        <f aca="false">M108+ROW()/1000000</f>
        <v>50.700108</v>
      </c>
      <c r="O108" s="5" t="n">
        <f aca="false">M108-IF(AND(Tickers!D108="SMALLCAP100",Macro!$B$26&lt;40),Control!$B$11,0)</f>
        <v>50.7</v>
      </c>
      <c r="P108" s="3" t="str">
        <f aca="false">IF(B108=FALSE(),"-",IF(O108&gt;=Control!$B$7,"BUY",IF(O108&gt;=Control!$B$8,"ACCUMULATE",IF(O108&gt;=Control!$B$9,"HOLD","AVOID"))))</f>
        <v>-</v>
      </c>
      <c r="Q108" s="3" t="str">
        <f aca="false">IF(B108=FALSE(),"",IF(OR(O108&gt;=72,O108&lt;=32),"High",IF(OR(O108&gt;=62,O108&lt;=42),"Medium","Low")))</f>
        <v/>
      </c>
      <c r="R108" s="12" t="n">
        <f aca="false">IF(P108="BUY",Control!$B$12,IF(P108="ACCUMULATE",Control!$B$13,0))</f>
        <v>0</v>
      </c>
      <c r="S108" s="3" t="str">
        <f aca="false">IF(B108=FALSE(),"",IF(T108=C108,"Rich valuation",IF(T108=E108,"Weak growth",IF(T108=F108,"Balance-sheet leverage",IF(T108=I108,"Negative momentum","High volatility/drawdown")))))</f>
        <v/>
      </c>
      <c r="T108" s="3" t="n">
        <f aca="false">MIN(C108,E108,F108,I108,J108)</f>
        <v>50</v>
      </c>
      <c r="U108" s="3" t="n">
        <f aca="false">IF(B108=TRUE(),N108,-1000+ROW()/1000000)</f>
        <v>-999.999892</v>
      </c>
    </row>
    <row r="109" customFormat="false" ht="15" hidden="false" customHeight="false" outlineLevel="0" collapsed="false">
      <c r="A109" s="7" t="str">
        <f aca="false">Tickers!A109</f>
        <v>KARURVYSYA</v>
      </c>
      <c r="B109" s="19" t="b">
        <f aca="false">Tickers!F109</f>
        <v>0</v>
      </c>
      <c r="C109" s="5" t="n">
        <f aca="false">AVERAGE(IF(NOT(ISNUMBER(Fundamentals!C109)),50,IF(Fundamentals!C109&lt;=0,15,100*(1-(SUMPRODUCT(($B$2:$B$151=TRUE())*ISNUMBER(Fundamentals!$C$2:$C$151)*(Fundamentals!$C$2:$C$151&gt;0)*(Fundamentals!$C$2:$C$151&lt;Fundamentals!C109))/MAX(1,SUMPRODUCT(($B$2:$B$151=TRUE())*ISNUMBER(Fundamentals!$C$2:$C$151)*(Fundamentals!$C$2:$C$151&gt;0))))))),IF(NOT(ISNUMBER(Fundamentals!E109)),50,IF(Fundamentals!E109&lt;=0,15,100*(1-(SUMPRODUCT(($B$2:$B$151=TRUE())*ISNUMBER(Fundamentals!$E$2:$E$151)*(Fundamentals!$E$2:$E$151&gt;0)*(Fundamentals!$E$2:$E$151&lt;Fundamentals!E109))/MAX(1,SUMPRODUCT(($B$2:$B$151=TRUE())*ISNUMBER(Fundamentals!$E$2:$E$151)*(Fundamentals!$E$2:$E$151&gt;0))))))))</f>
        <v>50</v>
      </c>
      <c r="D109" s="5" t="n">
        <f aca="false">AVERAGE(IF(NOT(ISNUMBER(Fundamentals!F109)),50,100*(SUMPRODUCT(($B$2:$B$151=TRUE())*ISNUMBER(Fundamentals!$F$2:$F$151)*(Fundamentals!$F$2:$F$151&lt;Fundamentals!F109))/MAX(1,SUMPRODUCT(($B$2:$B$151=TRUE())*ISNUMBER(Fundamentals!$F$2:$F$151))))),IF(NOT(ISNUMBER(Fundamentals!J109)),50,100*(SUMPRODUCT(($B$2:$B$151=TRUE())*ISNUMBER(Fundamentals!$J$2:$J$151)*(Fundamentals!$J$2:$J$151&lt;Fundamentals!J109))/MAX(1,SUMPRODUCT(($B$2:$B$151=TRUE())*ISNUMBER(Fundamentals!$J$2:$J$151))))))</f>
        <v>50</v>
      </c>
      <c r="E109" s="5" t="n">
        <f aca="false">AVERAGE(IF(NOT(ISNUMBER(Fundamentals!H109)),50,100*(SUMPRODUCT(($B$2:$B$151=TRUE())*ISNUMBER(Fundamentals!$H$2:$H$151)*(Fundamentals!$H$2:$H$151&lt;Fundamentals!H109))/MAX(1,SUMPRODUCT(($B$2:$B$151=TRUE())*ISNUMBER(Fundamentals!$H$2:$H$151))))),IF(NOT(ISNUMBER(Fundamentals!I109)),50,100*(SUMPRODUCT(($B$2:$B$151=TRUE())*ISNUMBER(Fundamentals!$I$2:$I$151)*(Fundamentals!$I$2:$I$151&lt;Fundamentals!I109))/MAX(1,SUMPRODUCT(($B$2:$B$151=TRUE())*ISNUMBER(Fundamentals!$I$2:$I$151))))))</f>
        <v>50</v>
      </c>
      <c r="F109" s="5" t="n">
        <f aca="false">IF(Tickers!C109="Financial Services",50,IF(NOT(ISNUMBER(Fundamentals!G109)),50,100*(1-(SUMPRODUCT(($B$2:$B$151=TRUE())*ISNUMBER(Fundamentals!$G$2:$G$151)*(Fundamentals!$G$2:$G$151&lt;Fundamentals!G109))/MAX(1,SUMPRODUCT(($B$2:$B$151=TRUE())*ISNUMBER(Fundamentals!$G$2:$G$151)))))))</f>
        <v>50</v>
      </c>
      <c r="G109" s="5" t="n">
        <f aca="false">AVERAGE(C109:F109)</f>
        <v>50</v>
      </c>
      <c r="H109" s="5" t="n">
        <f aca="false">MIN(100,MAX(0,IF(NOT(ISNUMBER(PriceMetrics!K109)),50,100*(SUMPRODUCT(($B$2:$B$151=TRUE())*ISNUMBER(PriceMetrics!$K$2:$K$151)*(PriceMetrics!$K$2:$K$151&lt;PriceMetrics!K109))/MAX(1,SUMPRODUCT(($B$2:$B$151=TRUE())*ISNUMBER(PriceMetrics!$K$2:$K$151)))))+IF(ISNUMBER(PriceMetrics!L109),10*PriceMetrics!L109,0)))</f>
        <v>50</v>
      </c>
      <c r="I109" s="5" t="n">
        <f aca="false">0.6*IF(NOT(ISNUMBER(PriceMetrics!P109)),50,100*(SUMPRODUCT(($B$2:$B$151=TRUE())*ISNUMBER(PriceMetrics!$P$2:$P$151)*(PriceMetrics!$P$2:$P$151&lt;PriceMetrics!P109))/MAX(1,SUMPRODUCT(($B$2:$B$151=TRUE())*ISNUMBER(PriceMetrics!$P$2:$P$151)))))+0.4*IF(NOT(ISNUMBER(PriceMetrics!H109)),50,IF(PriceMetrics!H109&gt;70,40,IF(PriceMetrics!H109&gt;=50,100,IF(PriceMetrics!H109&gt;=35,60,30))))</f>
        <v>50</v>
      </c>
      <c r="J109" s="5" t="n">
        <f aca="false">AVERAGE(IF(NOT(ISNUMBER(PriceMetrics!F109)),50,100*(1-(SUMPRODUCT(($B$2:$B$151=TRUE())*ISNUMBER(PriceMetrics!$F$2:$F$151)*(PriceMetrics!$F$2:$F$151&lt;PriceMetrics!F109))/MAX(1,SUMPRODUCT(($B$2:$B$151=TRUE())*ISNUMBER(PriceMetrics!$F$2:$F$151)))))),IF(NOT(ISNUMBER(PriceMetrics!G109)),50,100*(1-(SUMPRODUCT(($B$2:$B$151=TRUE())*ISNUMBER(PriceMetrics!$G$2:$G$151)*(ABS(PriceMetrics!$G$2:$G$151)&lt;ABS(PriceMetrics!G109)))/MAX(1,SUMPRODUCT(($B$2:$B$151=TRUE())*ISNUMBER(PriceMetrics!$G$2:$G$151)))))))</f>
        <v>50</v>
      </c>
      <c r="K109" s="5" t="n">
        <f aca="false">AVERAGE(H109:J109)</f>
        <v>50</v>
      </c>
      <c r="L109" s="8" t="n">
        <f aca="false">Macro!$B$26</f>
        <v>53.5</v>
      </c>
      <c r="M109" s="5" t="n">
        <f aca="false">Control!$B$3*100*G109/100+Control!$B$4*K109+Control!$B$5*L109</f>
        <v>50.7</v>
      </c>
      <c r="N109" s="3" t="n">
        <f aca="false">M109+ROW()/1000000</f>
        <v>50.700109</v>
      </c>
      <c r="O109" s="5" t="n">
        <f aca="false">M109-IF(AND(Tickers!D109="SMALLCAP100",Macro!$B$26&lt;40),Control!$B$11,0)</f>
        <v>50.7</v>
      </c>
      <c r="P109" s="3" t="str">
        <f aca="false">IF(B109=FALSE(),"-",IF(O109&gt;=Control!$B$7,"BUY",IF(O109&gt;=Control!$B$8,"ACCUMULATE",IF(O109&gt;=Control!$B$9,"HOLD","AVOID"))))</f>
        <v>-</v>
      </c>
      <c r="Q109" s="3" t="str">
        <f aca="false">IF(B109=FALSE(),"",IF(OR(O109&gt;=72,O109&lt;=32),"High",IF(OR(O109&gt;=62,O109&lt;=42),"Medium","Low")))</f>
        <v/>
      </c>
      <c r="R109" s="12" t="n">
        <f aca="false">IF(P109="BUY",Control!$B$12,IF(P109="ACCUMULATE",Control!$B$13,0))</f>
        <v>0</v>
      </c>
      <c r="S109" s="3" t="str">
        <f aca="false">IF(B109=FALSE(),"",IF(T109=C109,"Rich valuation",IF(T109=E109,"Weak growth",IF(T109=F109,"Balance-sheet leverage",IF(T109=I109,"Negative momentum","High volatility/drawdown")))))</f>
        <v/>
      </c>
      <c r="T109" s="3" t="n">
        <f aca="false">MIN(C109,E109,F109,I109,J109)</f>
        <v>50</v>
      </c>
      <c r="U109" s="3" t="n">
        <f aca="false">IF(B109=TRUE(),N109,-1000+ROW()/1000000)</f>
        <v>-999.999891</v>
      </c>
    </row>
    <row r="110" customFormat="false" ht="15" hidden="false" customHeight="false" outlineLevel="0" collapsed="false">
      <c r="A110" s="7" t="str">
        <f aca="false">Tickers!A110</f>
        <v>KAYNES</v>
      </c>
      <c r="B110" s="19" t="b">
        <f aca="false">Tickers!F110</f>
        <v>0</v>
      </c>
      <c r="C110" s="5" t="n">
        <f aca="false">AVERAGE(IF(NOT(ISNUMBER(Fundamentals!C110)),50,IF(Fundamentals!C110&lt;=0,15,100*(1-(SUMPRODUCT(($B$2:$B$151=TRUE())*ISNUMBER(Fundamentals!$C$2:$C$151)*(Fundamentals!$C$2:$C$151&gt;0)*(Fundamentals!$C$2:$C$151&lt;Fundamentals!C110))/MAX(1,SUMPRODUCT(($B$2:$B$151=TRUE())*ISNUMBER(Fundamentals!$C$2:$C$151)*(Fundamentals!$C$2:$C$151&gt;0))))))),IF(NOT(ISNUMBER(Fundamentals!E110)),50,IF(Fundamentals!E110&lt;=0,15,100*(1-(SUMPRODUCT(($B$2:$B$151=TRUE())*ISNUMBER(Fundamentals!$E$2:$E$151)*(Fundamentals!$E$2:$E$151&gt;0)*(Fundamentals!$E$2:$E$151&lt;Fundamentals!E110))/MAX(1,SUMPRODUCT(($B$2:$B$151=TRUE())*ISNUMBER(Fundamentals!$E$2:$E$151)*(Fundamentals!$E$2:$E$151&gt;0))))))))</f>
        <v>50</v>
      </c>
      <c r="D110" s="5" t="n">
        <f aca="false">AVERAGE(IF(NOT(ISNUMBER(Fundamentals!F110)),50,100*(SUMPRODUCT(($B$2:$B$151=TRUE())*ISNUMBER(Fundamentals!$F$2:$F$151)*(Fundamentals!$F$2:$F$151&lt;Fundamentals!F110))/MAX(1,SUMPRODUCT(($B$2:$B$151=TRUE())*ISNUMBER(Fundamentals!$F$2:$F$151))))),IF(NOT(ISNUMBER(Fundamentals!J110)),50,100*(SUMPRODUCT(($B$2:$B$151=TRUE())*ISNUMBER(Fundamentals!$J$2:$J$151)*(Fundamentals!$J$2:$J$151&lt;Fundamentals!J110))/MAX(1,SUMPRODUCT(($B$2:$B$151=TRUE())*ISNUMBER(Fundamentals!$J$2:$J$151))))))</f>
        <v>50</v>
      </c>
      <c r="E110" s="5" t="n">
        <f aca="false">AVERAGE(IF(NOT(ISNUMBER(Fundamentals!H110)),50,100*(SUMPRODUCT(($B$2:$B$151=TRUE())*ISNUMBER(Fundamentals!$H$2:$H$151)*(Fundamentals!$H$2:$H$151&lt;Fundamentals!H110))/MAX(1,SUMPRODUCT(($B$2:$B$151=TRUE())*ISNUMBER(Fundamentals!$H$2:$H$151))))),IF(NOT(ISNUMBER(Fundamentals!I110)),50,100*(SUMPRODUCT(($B$2:$B$151=TRUE())*ISNUMBER(Fundamentals!$I$2:$I$151)*(Fundamentals!$I$2:$I$151&lt;Fundamentals!I110))/MAX(1,SUMPRODUCT(($B$2:$B$151=TRUE())*ISNUMBER(Fundamentals!$I$2:$I$151))))))</f>
        <v>50</v>
      </c>
      <c r="F110" s="5" t="n">
        <f aca="false">IF(Tickers!C110="Financial Services",50,IF(NOT(ISNUMBER(Fundamentals!G110)),50,100*(1-(SUMPRODUCT(($B$2:$B$151=TRUE())*ISNUMBER(Fundamentals!$G$2:$G$151)*(Fundamentals!$G$2:$G$151&lt;Fundamentals!G110))/MAX(1,SUMPRODUCT(($B$2:$B$151=TRUE())*ISNUMBER(Fundamentals!$G$2:$G$151)))))))</f>
        <v>50</v>
      </c>
      <c r="G110" s="5" t="n">
        <f aca="false">AVERAGE(C110:F110)</f>
        <v>50</v>
      </c>
      <c r="H110" s="5" t="n">
        <f aca="false">MIN(100,MAX(0,IF(NOT(ISNUMBER(PriceMetrics!K110)),50,100*(SUMPRODUCT(($B$2:$B$151=TRUE())*ISNUMBER(PriceMetrics!$K$2:$K$151)*(PriceMetrics!$K$2:$K$151&lt;PriceMetrics!K110))/MAX(1,SUMPRODUCT(($B$2:$B$151=TRUE())*ISNUMBER(PriceMetrics!$K$2:$K$151)))))+IF(ISNUMBER(PriceMetrics!L110),10*PriceMetrics!L110,0)))</f>
        <v>50</v>
      </c>
      <c r="I110" s="5" t="n">
        <f aca="false">0.6*IF(NOT(ISNUMBER(PriceMetrics!P110)),50,100*(SUMPRODUCT(($B$2:$B$151=TRUE())*ISNUMBER(PriceMetrics!$P$2:$P$151)*(PriceMetrics!$P$2:$P$151&lt;PriceMetrics!P110))/MAX(1,SUMPRODUCT(($B$2:$B$151=TRUE())*ISNUMBER(PriceMetrics!$P$2:$P$151)))))+0.4*IF(NOT(ISNUMBER(PriceMetrics!H110)),50,IF(PriceMetrics!H110&gt;70,40,IF(PriceMetrics!H110&gt;=50,100,IF(PriceMetrics!H110&gt;=35,60,30))))</f>
        <v>50</v>
      </c>
      <c r="J110" s="5" t="n">
        <f aca="false">AVERAGE(IF(NOT(ISNUMBER(PriceMetrics!F110)),50,100*(1-(SUMPRODUCT(($B$2:$B$151=TRUE())*ISNUMBER(PriceMetrics!$F$2:$F$151)*(PriceMetrics!$F$2:$F$151&lt;PriceMetrics!F110))/MAX(1,SUMPRODUCT(($B$2:$B$151=TRUE())*ISNUMBER(PriceMetrics!$F$2:$F$151)))))),IF(NOT(ISNUMBER(PriceMetrics!G110)),50,100*(1-(SUMPRODUCT(($B$2:$B$151=TRUE())*ISNUMBER(PriceMetrics!$G$2:$G$151)*(ABS(PriceMetrics!$G$2:$G$151)&lt;ABS(PriceMetrics!G110)))/MAX(1,SUMPRODUCT(($B$2:$B$151=TRUE())*ISNUMBER(PriceMetrics!$G$2:$G$151)))))))</f>
        <v>50</v>
      </c>
      <c r="K110" s="5" t="n">
        <f aca="false">AVERAGE(H110:J110)</f>
        <v>50</v>
      </c>
      <c r="L110" s="8" t="n">
        <f aca="false">Macro!$B$26</f>
        <v>53.5</v>
      </c>
      <c r="M110" s="5" t="n">
        <f aca="false">Control!$B$3*100*G110/100+Control!$B$4*K110+Control!$B$5*L110</f>
        <v>50.7</v>
      </c>
      <c r="N110" s="3" t="n">
        <f aca="false">M110+ROW()/1000000</f>
        <v>50.70011</v>
      </c>
      <c r="O110" s="5" t="n">
        <f aca="false">M110-IF(AND(Tickers!D110="SMALLCAP100",Macro!$B$26&lt;40),Control!$B$11,0)</f>
        <v>50.7</v>
      </c>
      <c r="P110" s="3" t="str">
        <f aca="false">IF(B110=FALSE(),"-",IF(O110&gt;=Control!$B$7,"BUY",IF(O110&gt;=Control!$B$8,"ACCUMULATE",IF(O110&gt;=Control!$B$9,"HOLD","AVOID"))))</f>
        <v>-</v>
      </c>
      <c r="Q110" s="3" t="str">
        <f aca="false">IF(B110=FALSE(),"",IF(OR(O110&gt;=72,O110&lt;=32),"High",IF(OR(O110&gt;=62,O110&lt;=42),"Medium","Low")))</f>
        <v/>
      </c>
      <c r="R110" s="12" t="n">
        <f aca="false">IF(P110="BUY",Control!$B$12,IF(P110="ACCUMULATE",Control!$B$13,0))</f>
        <v>0</v>
      </c>
      <c r="S110" s="3" t="str">
        <f aca="false">IF(B110=FALSE(),"",IF(T110=C110,"Rich valuation",IF(T110=E110,"Weak growth",IF(T110=F110,"Balance-sheet leverage",IF(T110=I110,"Negative momentum","High volatility/drawdown")))))</f>
        <v/>
      </c>
      <c r="T110" s="3" t="n">
        <f aca="false">MIN(C110,E110,F110,I110,J110)</f>
        <v>50</v>
      </c>
      <c r="U110" s="3" t="n">
        <f aca="false">IF(B110=TRUE(),N110,-1000+ROW()/1000000)</f>
        <v>-999.99989</v>
      </c>
    </row>
    <row r="111" customFormat="false" ht="15" hidden="false" customHeight="false" outlineLevel="0" collapsed="false">
      <c r="A111" s="7" t="str">
        <f aca="false">Tickers!A111</f>
        <v>KEC</v>
      </c>
      <c r="B111" s="19" t="b">
        <f aca="false">Tickers!F111</f>
        <v>0</v>
      </c>
      <c r="C111" s="5" t="n">
        <f aca="false">AVERAGE(IF(NOT(ISNUMBER(Fundamentals!C111)),50,IF(Fundamentals!C111&lt;=0,15,100*(1-(SUMPRODUCT(($B$2:$B$151=TRUE())*ISNUMBER(Fundamentals!$C$2:$C$151)*(Fundamentals!$C$2:$C$151&gt;0)*(Fundamentals!$C$2:$C$151&lt;Fundamentals!C111))/MAX(1,SUMPRODUCT(($B$2:$B$151=TRUE())*ISNUMBER(Fundamentals!$C$2:$C$151)*(Fundamentals!$C$2:$C$151&gt;0))))))),IF(NOT(ISNUMBER(Fundamentals!E111)),50,IF(Fundamentals!E111&lt;=0,15,100*(1-(SUMPRODUCT(($B$2:$B$151=TRUE())*ISNUMBER(Fundamentals!$E$2:$E$151)*(Fundamentals!$E$2:$E$151&gt;0)*(Fundamentals!$E$2:$E$151&lt;Fundamentals!E111))/MAX(1,SUMPRODUCT(($B$2:$B$151=TRUE())*ISNUMBER(Fundamentals!$E$2:$E$151)*(Fundamentals!$E$2:$E$151&gt;0))))))))</f>
        <v>50</v>
      </c>
      <c r="D111" s="5" t="n">
        <f aca="false">AVERAGE(IF(NOT(ISNUMBER(Fundamentals!F111)),50,100*(SUMPRODUCT(($B$2:$B$151=TRUE())*ISNUMBER(Fundamentals!$F$2:$F$151)*(Fundamentals!$F$2:$F$151&lt;Fundamentals!F111))/MAX(1,SUMPRODUCT(($B$2:$B$151=TRUE())*ISNUMBER(Fundamentals!$F$2:$F$151))))),IF(NOT(ISNUMBER(Fundamentals!J111)),50,100*(SUMPRODUCT(($B$2:$B$151=TRUE())*ISNUMBER(Fundamentals!$J$2:$J$151)*(Fundamentals!$J$2:$J$151&lt;Fundamentals!J111))/MAX(1,SUMPRODUCT(($B$2:$B$151=TRUE())*ISNUMBER(Fundamentals!$J$2:$J$151))))))</f>
        <v>50</v>
      </c>
      <c r="E111" s="5" t="n">
        <f aca="false">AVERAGE(IF(NOT(ISNUMBER(Fundamentals!H111)),50,100*(SUMPRODUCT(($B$2:$B$151=TRUE())*ISNUMBER(Fundamentals!$H$2:$H$151)*(Fundamentals!$H$2:$H$151&lt;Fundamentals!H111))/MAX(1,SUMPRODUCT(($B$2:$B$151=TRUE())*ISNUMBER(Fundamentals!$H$2:$H$151))))),IF(NOT(ISNUMBER(Fundamentals!I111)),50,100*(SUMPRODUCT(($B$2:$B$151=TRUE())*ISNUMBER(Fundamentals!$I$2:$I$151)*(Fundamentals!$I$2:$I$151&lt;Fundamentals!I111))/MAX(1,SUMPRODUCT(($B$2:$B$151=TRUE())*ISNUMBER(Fundamentals!$I$2:$I$151))))))</f>
        <v>50</v>
      </c>
      <c r="F111" s="5" t="n">
        <f aca="false">IF(Tickers!C111="Financial Services",50,IF(NOT(ISNUMBER(Fundamentals!G111)),50,100*(1-(SUMPRODUCT(($B$2:$B$151=TRUE())*ISNUMBER(Fundamentals!$G$2:$G$151)*(Fundamentals!$G$2:$G$151&lt;Fundamentals!G111))/MAX(1,SUMPRODUCT(($B$2:$B$151=TRUE())*ISNUMBER(Fundamentals!$G$2:$G$151)))))))</f>
        <v>50</v>
      </c>
      <c r="G111" s="5" t="n">
        <f aca="false">AVERAGE(C111:F111)</f>
        <v>50</v>
      </c>
      <c r="H111" s="5" t="n">
        <f aca="false">MIN(100,MAX(0,IF(NOT(ISNUMBER(PriceMetrics!K111)),50,100*(SUMPRODUCT(($B$2:$B$151=TRUE())*ISNUMBER(PriceMetrics!$K$2:$K$151)*(PriceMetrics!$K$2:$K$151&lt;PriceMetrics!K111))/MAX(1,SUMPRODUCT(($B$2:$B$151=TRUE())*ISNUMBER(PriceMetrics!$K$2:$K$151)))))+IF(ISNUMBER(PriceMetrics!L111),10*PriceMetrics!L111,0)))</f>
        <v>50</v>
      </c>
      <c r="I111" s="5" t="n">
        <f aca="false">0.6*IF(NOT(ISNUMBER(PriceMetrics!P111)),50,100*(SUMPRODUCT(($B$2:$B$151=TRUE())*ISNUMBER(PriceMetrics!$P$2:$P$151)*(PriceMetrics!$P$2:$P$151&lt;PriceMetrics!P111))/MAX(1,SUMPRODUCT(($B$2:$B$151=TRUE())*ISNUMBER(PriceMetrics!$P$2:$P$151)))))+0.4*IF(NOT(ISNUMBER(PriceMetrics!H111)),50,IF(PriceMetrics!H111&gt;70,40,IF(PriceMetrics!H111&gt;=50,100,IF(PriceMetrics!H111&gt;=35,60,30))))</f>
        <v>50</v>
      </c>
      <c r="J111" s="5" t="n">
        <f aca="false">AVERAGE(IF(NOT(ISNUMBER(PriceMetrics!F111)),50,100*(1-(SUMPRODUCT(($B$2:$B$151=TRUE())*ISNUMBER(PriceMetrics!$F$2:$F$151)*(PriceMetrics!$F$2:$F$151&lt;PriceMetrics!F111))/MAX(1,SUMPRODUCT(($B$2:$B$151=TRUE())*ISNUMBER(PriceMetrics!$F$2:$F$151)))))),IF(NOT(ISNUMBER(PriceMetrics!G111)),50,100*(1-(SUMPRODUCT(($B$2:$B$151=TRUE())*ISNUMBER(PriceMetrics!$G$2:$G$151)*(ABS(PriceMetrics!$G$2:$G$151)&lt;ABS(PriceMetrics!G111)))/MAX(1,SUMPRODUCT(($B$2:$B$151=TRUE())*ISNUMBER(PriceMetrics!$G$2:$G$151)))))))</f>
        <v>50</v>
      </c>
      <c r="K111" s="5" t="n">
        <f aca="false">AVERAGE(H111:J111)</f>
        <v>50</v>
      </c>
      <c r="L111" s="8" t="n">
        <f aca="false">Macro!$B$26</f>
        <v>53.5</v>
      </c>
      <c r="M111" s="5" t="n">
        <f aca="false">Control!$B$3*100*G111/100+Control!$B$4*K111+Control!$B$5*L111</f>
        <v>50.7</v>
      </c>
      <c r="N111" s="3" t="n">
        <f aca="false">M111+ROW()/1000000</f>
        <v>50.700111</v>
      </c>
      <c r="O111" s="5" t="n">
        <f aca="false">M111-IF(AND(Tickers!D111="SMALLCAP100",Macro!$B$26&lt;40),Control!$B$11,0)</f>
        <v>50.7</v>
      </c>
      <c r="P111" s="3" t="str">
        <f aca="false">IF(B111=FALSE(),"-",IF(O111&gt;=Control!$B$7,"BUY",IF(O111&gt;=Control!$B$8,"ACCUMULATE",IF(O111&gt;=Control!$B$9,"HOLD","AVOID"))))</f>
        <v>-</v>
      </c>
      <c r="Q111" s="3" t="str">
        <f aca="false">IF(B111=FALSE(),"",IF(OR(O111&gt;=72,O111&lt;=32),"High",IF(OR(O111&gt;=62,O111&lt;=42),"Medium","Low")))</f>
        <v/>
      </c>
      <c r="R111" s="12" t="n">
        <f aca="false">IF(P111="BUY",Control!$B$12,IF(P111="ACCUMULATE",Control!$B$13,0))</f>
        <v>0</v>
      </c>
      <c r="S111" s="3" t="str">
        <f aca="false">IF(B111=FALSE(),"",IF(T111=C111,"Rich valuation",IF(T111=E111,"Weak growth",IF(T111=F111,"Balance-sheet leverage",IF(T111=I111,"Negative momentum","High volatility/drawdown")))))</f>
        <v/>
      </c>
      <c r="T111" s="3" t="n">
        <f aca="false">MIN(C111,E111,F111,I111,J111)</f>
        <v>50</v>
      </c>
      <c r="U111" s="3" t="n">
        <f aca="false">IF(B111=TRUE(),N111,-1000+ROW()/1000000)</f>
        <v>-999.999889</v>
      </c>
    </row>
    <row r="112" customFormat="false" ht="15" hidden="false" customHeight="false" outlineLevel="0" collapsed="false">
      <c r="A112" s="7" t="str">
        <f aca="false">Tickers!A112</f>
        <v>KFINTECH</v>
      </c>
      <c r="B112" s="19" t="b">
        <f aca="false">Tickers!F112</f>
        <v>0</v>
      </c>
      <c r="C112" s="5" t="n">
        <f aca="false">AVERAGE(IF(NOT(ISNUMBER(Fundamentals!C112)),50,IF(Fundamentals!C112&lt;=0,15,100*(1-(SUMPRODUCT(($B$2:$B$151=TRUE())*ISNUMBER(Fundamentals!$C$2:$C$151)*(Fundamentals!$C$2:$C$151&gt;0)*(Fundamentals!$C$2:$C$151&lt;Fundamentals!C112))/MAX(1,SUMPRODUCT(($B$2:$B$151=TRUE())*ISNUMBER(Fundamentals!$C$2:$C$151)*(Fundamentals!$C$2:$C$151&gt;0))))))),IF(NOT(ISNUMBER(Fundamentals!E112)),50,IF(Fundamentals!E112&lt;=0,15,100*(1-(SUMPRODUCT(($B$2:$B$151=TRUE())*ISNUMBER(Fundamentals!$E$2:$E$151)*(Fundamentals!$E$2:$E$151&gt;0)*(Fundamentals!$E$2:$E$151&lt;Fundamentals!E112))/MAX(1,SUMPRODUCT(($B$2:$B$151=TRUE())*ISNUMBER(Fundamentals!$E$2:$E$151)*(Fundamentals!$E$2:$E$151&gt;0))))))))</f>
        <v>50</v>
      </c>
      <c r="D112" s="5" t="n">
        <f aca="false">AVERAGE(IF(NOT(ISNUMBER(Fundamentals!F112)),50,100*(SUMPRODUCT(($B$2:$B$151=TRUE())*ISNUMBER(Fundamentals!$F$2:$F$151)*(Fundamentals!$F$2:$F$151&lt;Fundamentals!F112))/MAX(1,SUMPRODUCT(($B$2:$B$151=TRUE())*ISNUMBER(Fundamentals!$F$2:$F$151))))),IF(NOT(ISNUMBER(Fundamentals!J112)),50,100*(SUMPRODUCT(($B$2:$B$151=TRUE())*ISNUMBER(Fundamentals!$J$2:$J$151)*(Fundamentals!$J$2:$J$151&lt;Fundamentals!J112))/MAX(1,SUMPRODUCT(($B$2:$B$151=TRUE())*ISNUMBER(Fundamentals!$J$2:$J$151))))))</f>
        <v>50</v>
      </c>
      <c r="E112" s="5" t="n">
        <f aca="false">AVERAGE(IF(NOT(ISNUMBER(Fundamentals!H112)),50,100*(SUMPRODUCT(($B$2:$B$151=TRUE())*ISNUMBER(Fundamentals!$H$2:$H$151)*(Fundamentals!$H$2:$H$151&lt;Fundamentals!H112))/MAX(1,SUMPRODUCT(($B$2:$B$151=TRUE())*ISNUMBER(Fundamentals!$H$2:$H$151))))),IF(NOT(ISNUMBER(Fundamentals!I112)),50,100*(SUMPRODUCT(($B$2:$B$151=TRUE())*ISNUMBER(Fundamentals!$I$2:$I$151)*(Fundamentals!$I$2:$I$151&lt;Fundamentals!I112))/MAX(1,SUMPRODUCT(($B$2:$B$151=TRUE())*ISNUMBER(Fundamentals!$I$2:$I$151))))))</f>
        <v>50</v>
      </c>
      <c r="F112" s="5" t="n">
        <f aca="false">IF(Tickers!C112="Financial Services",50,IF(NOT(ISNUMBER(Fundamentals!G112)),50,100*(1-(SUMPRODUCT(($B$2:$B$151=TRUE())*ISNUMBER(Fundamentals!$G$2:$G$151)*(Fundamentals!$G$2:$G$151&lt;Fundamentals!G112))/MAX(1,SUMPRODUCT(($B$2:$B$151=TRUE())*ISNUMBER(Fundamentals!$G$2:$G$151)))))))</f>
        <v>50</v>
      </c>
      <c r="G112" s="5" t="n">
        <f aca="false">AVERAGE(C112:F112)</f>
        <v>50</v>
      </c>
      <c r="H112" s="5" t="n">
        <f aca="false">MIN(100,MAX(0,IF(NOT(ISNUMBER(PriceMetrics!K112)),50,100*(SUMPRODUCT(($B$2:$B$151=TRUE())*ISNUMBER(PriceMetrics!$K$2:$K$151)*(PriceMetrics!$K$2:$K$151&lt;PriceMetrics!K112))/MAX(1,SUMPRODUCT(($B$2:$B$151=TRUE())*ISNUMBER(PriceMetrics!$K$2:$K$151)))))+IF(ISNUMBER(PriceMetrics!L112),10*PriceMetrics!L112,0)))</f>
        <v>50</v>
      </c>
      <c r="I112" s="5" t="n">
        <f aca="false">0.6*IF(NOT(ISNUMBER(PriceMetrics!P112)),50,100*(SUMPRODUCT(($B$2:$B$151=TRUE())*ISNUMBER(PriceMetrics!$P$2:$P$151)*(PriceMetrics!$P$2:$P$151&lt;PriceMetrics!P112))/MAX(1,SUMPRODUCT(($B$2:$B$151=TRUE())*ISNUMBER(PriceMetrics!$P$2:$P$151)))))+0.4*IF(NOT(ISNUMBER(PriceMetrics!H112)),50,IF(PriceMetrics!H112&gt;70,40,IF(PriceMetrics!H112&gt;=50,100,IF(PriceMetrics!H112&gt;=35,60,30))))</f>
        <v>50</v>
      </c>
      <c r="J112" s="5" t="n">
        <f aca="false">AVERAGE(IF(NOT(ISNUMBER(PriceMetrics!F112)),50,100*(1-(SUMPRODUCT(($B$2:$B$151=TRUE())*ISNUMBER(PriceMetrics!$F$2:$F$151)*(PriceMetrics!$F$2:$F$151&lt;PriceMetrics!F112))/MAX(1,SUMPRODUCT(($B$2:$B$151=TRUE())*ISNUMBER(PriceMetrics!$F$2:$F$151)))))),IF(NOT(ISNUMBER(PriceMetrics!G112)),50,100*(1-(SUMPRODUCT(($B$2:$B$151=TRUE())*ISNUMBER(PriceMetrics!$G$2:$G$151)*(ABS(PriceMetrics!$G$2:$G$151)&lt;ABS(PriceMetrics!G112)))/MAX(1,SUMPRODUCT(($B$2:$B$151=TRUE())*ISNUMBER(PriceMetrics!$G$2:$G$151)))))))</f>
        <v>50</v>
      </c>
      <c r="K112" s="5" t="n">
        <f aca="false">AVERAGE(H112:J112)</f>
        <v>50</v>
      </c>
      <c r="L112" s="8" t="n">
        <f aca="false">Macro!$B$26</f>
        <v>53.5</v>
      </c>
      <c r="M112" s="5" t="n">
        <f aca="false">Control!$B$3*100*G112/100+Control!$B$4*K112+Control!$B$5*L112</f>
        <v>50.7</v>
      </c>
      <c r="N112" s="3" t="n">
        <f aca="false">M112+ROW()/1000000</f>
        <v>50.700112</v>
      </c>
      <c r="O112" s="5" t="n">
        <f aca="false">M112-IF(AND(Tickers!D112="SMALLCAP100",Macro!$B$26&lt;40),Control!$B$11,0)</f>
        <v>50.7</v>
      </c>
      <c r="P112" s="3" t="str">
        <f aca="false">IF(B112=FALSE(),"-",IF(O112&gt;=Control!$B$7,"BUY",IF(O112&gt;=Control!$B$8,"ACCUMULATE",IF(O112&gt;=Control!$B$9,"HOLD","AVOID"))))</f>
        <v>-</v>
      </c>
      <c r="Q112" s="3" t="str">
        <f aca="false">IF(B112=FALSE(),"",IF(OR(O112&gt;=72,O112&lt;=32),"High",IF(OR(O112&gt;=62,O112&lt;=42),"Medium","Low")))</f>
        <v/>
      </c>
      <c r="R112" s="12" t="n">
        <f aca="false">IF(P112="BUY",Control!$B$12,IF(P112="ACCUMULATE",Control!$B$13,0))</f>
        <v>0</v>
      </c>
      <c r="S112" s="3" t="str">
        <f aca="false">IF(B112=FALSE(),"",IF(T112=C112,"Rich valuation",IF(T112=E112,"Weak growth",IF(T112=F112,"Balance-sheet leverage",IF(T112=I112,"Negative momentum","High volatility/drawdown")))))</f>
        <v/>
      </c>
      <c r="T112" s="3" t="n">
        <f aca="false">MIN(C112,E112,F112,I112,J112)</f>
        <v>50</v>
      </c>
      <c r="U112" s="3" t="n">
        <f aca="false">IF(B112=TRUE(),N112,-1000+ROW()/1000000)</f>
        <v>-999.999888</v>
      </c>
    </row>
    <row r="113" customFormat="false" ht="15" hidden="false" customHeight="false" outlineLevel="0" collapsed="false">
      <c r="A113" s="7" t="str">
        <f aca="false">Tickers!A113</f>
        <v>MANAPPURAM</v>
      </c>
      <c r="B113" s="19" t="b">
        <f aca="false">Tickers!F113</f>
        <v>0</v>
      </c>
      <c r="C113" s="5" t="n">
        <f aca="false">AVERAGE(IF(NOT(ISNUMBER(Fundamentals!C113)),50,IF(Fundamentals!C113&lt;=0,15,100*(1-(SUMPRODUCT(($B$2:$B$151=TRUE())*ISNUMBER(Fundamentals!$C$2:$C$151)*(Fundamentals!$C$2:$C$151&gt;0)*(Fundamentals!$C$2:$C$151&lt;Fundamentals!C113))/MAX(1,SUMPRODUCT(($B$2:$B$151=TRUE())*ISNUMBER(Fundamentals!$C$2:$C$151)*(Fundamentals!$C$2:$C$151&gt;0))))))),IF(NOT(ISNUMBER(Fundamentals!E113)),50,IF(Fundamentals!E113&lt;=0,15,100*(1-(SUMPRODUCT(($B$2:$B$151=TRUE())*ISNUMBER(Fundamentals!$E$2:$E$151)*(Fundamentals!$E$2:$E$151&gt;0)*(Fundamentals!$E$2:$E$151&lt;Fundamentals!E113))/MAX(1,SUMPRODUCT(($B$2:$B$151=TRUE())*ISNUMBER(Fundamentals!$E$2:$E$151)*(Fundamentals!$E$2:$E$151&gt;0))))))))</f>
        <v>50</v>
      </c>
      <c r="D113" s="5" t="n">
        <f aca="false">AVERAGE(IF(NOT(ISNUMBER(Fundamentals!F113)),50,100*(SUMPRODUCT(($B$2:$B$151=TRUE())*ISNUMBER(Fundamentals!$F$2:$F$151)*(Fundamentals!$F$2:$F$151&lt;Fundamentals!F113))/MAX(1,SUMPRODUCT(($B$2:$B$151=TRUE())*ISNUMBER(Fundamentals!$F$2:$F$151))))),IF(NOT(ISNUMBER(Fundamentals!J113)),50,100*(SUMPRODUCT(($B$2:$B$151=TRUE())*ISNUMBER(Fundamentals!$J$2:$J$151)*(Fundamentals!$J$2:$J$151&lt;Fundamentals!J113))/MAX(1,SUMPRODUCT(($B$2:$B$151=TRUE())*ISNUMBER(Fundamentals!$J$2:$J$151))))))</f>
        <v>50</v>
      </c>
      <c r="E113" s="5" t="n">
        <f aca="false">AVERAGE(IF(NOT(ISNUMBER(Fundamentals!H113)),50,100*(SUMPRODUCT(($B$2:$B$151=TRUE())*ISNUMBER(Fundamentals!$H$2:$H$151)*(Fundamentals!$H$2:$H$151&lt;Fundamentals!H113))/MAX(1,SUMPRODUCT(($B$2:$B$151=TRUE())*ISNUMBER(Fundamentals!$H$2:$H$151))))),IF(NOT(ISNUMBER(Fundamentals!I113)),50,100*(SUMPRODUCT(($B$2:$B$151=TRUE())*ISNUMBER(Fundamentals!$I$2:$I$151)*(Fundamentals!$I$2:$I$151&lt;Fundamentals!I113))/MAX(1,SUMPRODUCT(($B$2:$B$151=TRUE())*ISNUMBER(Fundamentals!$I$2:$I$151))))))</f>
        <v>50</v>
      </c>
      <c r="F113" s="5" t="n">
        <f aca="false">IF(Tickers!C113="Financial Services",50,IF(NOT(ISNUMBER(Fundamentals!G113)),50,100*(1-(SUMPRODUCT(($B$2:$B$151=TRUE())*ISNUMBER(Fundamentals!$G$2:$G$151)*(Fundamentals!$G$2:$G$151&lt;Fundamentals!G113))/MAX(1,SUMPRODUCT(($B$2:$B$151=TRUE())*ISNUMBER(Fundamentals!$G$2:$G$151)))))))</f>
        <v>50</v>
      </c>
      <c r="G113" s="5" t="n">
        <f aca="false">AVERAGE(C113:F113)</f>
        <v>50</v>
      </c>
      <c r="H113" s="5" t="n">
        <f aca="false">MIN(100,MAX(0,IF(NOT(ISNUMBER(PriceMetrics!K113)),50,100*(SUMPRODUCT(($B$2:$B$151=TRUE())*ISNUMBER(PriceMetrics!$K$2:$K$151)*(PriceMetrics!$K$2:$K$151&lt;PriceMetrics!K113))/MAX(1,SUMPRODUCT(($B$2:$B$151=TRUE())*ISNUMBER(PriceMetrics!$K$2:$K$151)))))+IF(ISNUMBER(PriceMetrics!L113),10*PriceMetrics!L113,0)))</f>
        <v>50</v>
      </c>
      <c r="I113" s="5" t="n">
        <f aca="false">0.6*IF(NOT(ISNUMBER(PriceMetrics!P113)),50,100*(SUMPRODUCT(($B$2:$B$151=TRUE())*ISNUMBER(PriceMetrics!$P$2:$P$151)*(PriceMetrics!$P$2:$P$151&lt;PriceMetrics!P113))/MAX(1,SUMPRODUCT(($B$2:$B$151=TRUE())*ISNUMBER(PriceMetrics!$P$2:$P$151)))))+0.4*IF(NOT(ISNUMBER(PriceMetrics!H113)),50,IF(PriceMetrics!H113&gt;70,40,IF(PriceMetrics!H113&gt;=50,100,IF(PriceMetrics!H113&gt;=35,60,30))))</f>
        <v>50</v>
      </c>
      <c r="J113" s="5" t="n">
        <f aca="false">AVERAGE(IF(NOT(ISNUMBER(PriceMetrics!F113)),50,100*(1-(SUMPRODUCT(($B$2:$B$151=TRUE())*ISNUMBER(PriceMetrics!$F$2:$F$151)*(PriceMetrics!$F$2:$F$151&lt;PriceMetrics!F113))/MAX(1,SUMPRODUCT(($B$2:$B$151=TRUE())*ISNUMBER(PriceMetrics!$F$2:$F$151)))))),IF(NOT(ISNUMBER(PriceMetrics!G113)),50,100*(1-(SUMPRODUCT(($B$2:$B$151=TRUE())*ISNUMBER(PriceMetrics!$G$2:$G$151)*(ABS(PriceMetrics!$G$2:$G$151)&lt;ABS(PriceMetrics!G113)))/MAX(1,SUMPRODUCT(($B$2:$B$151=TRUE())*ISNUMBER(PriceMetrics!$G$2:$G$151)))))))</f>
        <v>50</v>
      </c>
      <c r="K113" s="5" t="n">
        <f aca="false">AVERAGE(H113:J113)</f>
        <v>50</v>
      </c>
      <c r="L113" s="8" t="n">
        <f aca="false">Macro!$B$26</f>
        <v>53.5</v>
      </c>
      <c r="M113" s="5" t="n">
        <f aca="false">Control!$B$3*100*G113/100+Control!$B$4*K113+Control!$B$5*L113</f>
        <v>50.7</v>
      </c>
      <c r="N113" s="3" t="n">
        <f aca="false">M113+ROW()/1000000</f>
        <v>50.700113</v>
      </c>
      <c r="O113" s="5" t="n">
        <f aca="false">M113-IF(AND(Tickers!D113="SMALLCAP100",Macro!$B$26&lt;40),Control!$B$11,0)</f>
        <v>50.7</v>
      </c>
      <c r="P113" s="3" t="str">
        <f aca="false">IF(B113=FALSE(),"-",IF(O113&gt;=Control!$B$7,"BUY",IF(O113&gt;=Control!$B$8,"ACCUMULATE",IF(O113&gt;=Control!$B$9,"HOLD","AVOID"))))</f>
        <v>-</v>
      </c>
      <c r="Q113" s="3" t="str">
        <f aca="false">IF(B113=FALSE(),"",IF(OR(O113&gt;=72,O113&lt;=32),"High",IF(OR(O113&gt;=62,O113&lt;=42),"Medium","Low")))</f>
        <v/>
      </c>
      <c r="R113" s="12" t="n">
        <f aca="false">IF(P113="BUY",Control!$B$12,IF(P113="ACCUMULATE",Control!$B$13,0))</f>
        <v>0</v>
      </c>
      <c r="S113" s="3" t="str">
        <f aca="false">IF(B113=FALSE(),"",IF(T113=C113,"Rich valuation",IF(T113=E113,"Weak growth",IF(T113=F113,"Balance-sheet leverage",IF(T113=I113,"Negative momentum","High volatility/drawdown")))))</f>
        <v/>
      </c>
      <c r="T113" s="3" t="n">
        <f aca="false">MIN(C113,E113,F113,I113,J113)</f>
        <v>50</v>
      </c>
      <c r="U113" s="3" t="n">
        <f aca="false">IF(B113=TRUE(),N113,-1000+ROW()/1000000)</f>
        <v>-999.999887</v>
      </c>
    </row>
    <row r="114" customFormat="false" ht="15" hidden="false" customHeight="false" outlineLevel="0" collapsed="false">
      <c r="A114" s="7" t="str">
        <f aca="false">Tickers!A114</f>
        <v>MRPL</v>
      </c>
      <c r="B114" s="19" t="b">
        <f aca="false">Tickers!F114</f>
        <v>0</v>
      </c>
      <c r="C114" s="5" t="n">
        <f aca="false">AVERAGE(IF(NOT(ISNUMBER(Fundamentals!C114)),50,IF(Fundamentals!C114&lt;=0,15,100*(1-(SUMPRODUCT(($B$2:$B$151=TRUE())*ISNUMBER(Fundamentals!$C$2:$C$151)*(Fundamentals!$C$2:$C$151&gt;0)*(Fundamentals!$C$2:$C$151&lt;Fundamentals!C114))/MAX(1,SUMPRODUCT(($B$2:$B$151=TRUE())*ISNUMBER(Fundamentals!$C$2:$C$151)*(Fundamentals!$C$2:$C$151&gt;0))))))),IF(NOT(ISNUMBER(Fundamentals!E114)),50,IF(Fundamentals!E114&lt;=0,15,100*(1-(SUMPRODUCT(($B$2:$B$151=TRUE())*ISNUMBER(Fundamentals!$E$2:$E$151)*(Fundamentals!$E$2:$E$151&gt;0)*(Fundamentals!$E$2:$E$151&lt;Fundamentals!E114))/MAX(1,SUMPRODUCT(($B$2:$B$151=TRUE())*ISNUMBER(Fundamentals!$E$2:$E$151)*(Fundamentals!$E$2:$E$151&gt;0))))))))</f>
        <v>50</v>
      </c>
      <c r="D114" s="5" t="n">
        <f aca="false">AVERAGE(IF(NOT(ISNUMBER(Fundamentals!F114)),50,100*(SUMPRODUCT(($B$2:$B$151=TRUE())*ISNUMBER(Fundamentals!$F$2:$F$151)*(Fundamentals!$F$2:$F$151&lt;Fundamentals!F114))/MAX(1,SUMPRODUCT(($B$2:$B$151=TRUE())*ISNUMBER(Fundamentals!$F$2:$F$151))))),IF(NOT(ISNUMBER(Fundamentals!J114)),50,100*(SUMPRODUCT(($B$2:$B$151=TRUE())*ISNUMBER(Fundamentals!$J$2:$J$151)*(Fundamentals!$J$2:$J$151&lt;Fundamentals!J114))/MAX(1,SUMPRODUCT(($B$2:$B$151=TRUE())*ISNUMBER(Fundamentals!$J$2:$J$151))))))</f>
        <v>50</v>
      </c>
      <c r="E114" s="5" t="n">
        <f aca="false">AVERAGE(IF(NOT(ISNUMBER(Fundamentals!H114)),50,100*(SUMPRODUCT(($B$2:$B$151=TRUE())*ISNUMBER(Fundamentals!$H$2:$H$151)*(Fundamentals!$H$2:$H$151&lt;Fundamentals!H114))/MAX(1,SUMPRODUCT(($B$2:$B$151=TRUE())*ISNUMBER(Fundamentals!$H$2:$H$151))))),IF(NOT(ISNUMBER(Fundamentals!I114)),50,100*(SUMPRODUCT(($B$2:$B$151=TRUE())*ISNUMBER(Fundamentals!$I$2:$I$151)*(Fundamentals!$I$2:$I$151&lt;Fundamentals!I114))/MAX(1,SUMPRODUCT(($B$2:$B$151=TRUE())*ISNUMBER(Fundamentals!$I$2:$I$151))))))</f>
        <v>50</v>
      </c>
      <c r="F114" s="5" t="n">
        <f aca="false">IF(Tickers!C114="Financial Services",50,IF(NOT(ISNUMBER(Fundamentals!G114)),50,100*(1-(SUMPRODUCT(($B$2:$B$151=TRUE())*ISNUMBER(Fundamentals!$G$2:$G$151)*(Fundamentals!$G$2:$G$151&lt;Fundamentals!G114))/MAX(1,SUMPRODUCT(($B$2:$B$151=TRUE())*ISNUMBER(Fundamentals!$G$2:$G$151)))))))</f>
        <v>50</v>
      </c>
      <c r="G114" s="5" t="n">
        <f aca="false">AVERAGE(C114:F114)</f>
        <v>50</v>
      </c>
      <c r="H114" s="5" t="n">
        <f aca="false">MIN(100,MAX(0,IF(NOT(ISNUMBER(PriceMetrics!K114)),50,100*(SUMPRODUCT(($B$2:$B$151=TRUE())*ISNUMBER(PriceMetrics!$K$2:$K$151)*(PriceMetrics!$K$2:$K$151&lt;PriceMetrics!K114))/MAX(1,SUMPRODUCT(($B$2:$B$151=TRUE())*ISNUMBER(PriceMetrics!$K$2:$K$151)))))+IF(ISNUMBER(PriceMetrics!L114),10*PriceMetrics!L114,0)))</f>
        <v>50</v>
      </c>
      <c r="I114" s="5" t="n">
        <f aca="false">0.6*IF(NOT(ISNUMBER(PriceMetrics!P114)),50,100*(SUMPRODUCT(($B$2:$B$151=TRUE())*ISNUMBER(PriceMetrics!$P$2:$P$151)*(PriceMetrics!$P$2:$P$151&lt;PriceMetrics!P114))/MAX(1,SUMPRODUCT(($B$2:$B$151=TRUE())*ISNUMBER(PriceMetrics!$P$2:$P$151)))))+0.4*IF(NOT(ISNUMBER(PriceMetrics!H114)),50,IF(PriceMetrics!H114&gt;70,40,IF(PriceMetrics!H114&gt;=50,100,IF(PriceMetrics!H114&gt;=35,60,30))))</f>
        <v>50</v>
      </c>
      <c r="J114" s="5" t="n">
        <f aca="false">AVERAGE(IF(NOT(ISNUMBER(PriceMetrics!F114)),50,100*(1-(SUMPRODUCT(($B$2:$B$151=TRUE())*ISNUMBER(PriceMetrics!$F$2:$F$151)*(PriceMetrics!$F$2:$F$151&lt;PriceMetrics!F114))/MAX(1,SUMPRODUCT(($B$2:$B$151=TRUE())*ISNUMBER(PriceMetrics!$F$2:$F$151)))))),IF(NOT(ISNUMBER(PriceMetrics!G114)),50,100*(1-(SUMPRODUCT(($B$2:$B$151=TRUE())*ISNUMBER(PriceMetrics!$G$2:$G$151)*(ABS(PriceMetrics!$G$2:$G$151)&lt;ABS(PriceMetrics!G114)))/MAX(1,SUMPRODUCT(($B$2:$B$151=TRUE())*ISNUMBER(PriceMetrics!$G$2:$G$151)))))))</f>
        <v>50</v>
      </c>
      <c r="K114" s="5" t="n">
        <f aca="false">AVERAGE(H114:J114)</f>
        <v>50</v>
      </c>
      <c r="L114" s="8" t="n">
        <f aca="false">Macro!$B$26</f>
        <v>53.5</v>
      </c>
      <c r="M114" s="5" t="n">
        <f aca="false">Control!$B$3*100*G114/100+Control!$B$4*K114+Control!$B$5*L114</f>
        <v>50.7</v>
      </c>
      <c r="N114" s="3" t="n">
        <f aca="false">M114+ROW()/1000000</f>
        <v>50.700114</v>
      </c>
      <c r="O114" s="5" t="n">
        <f aca="false">M114-IF(AND(Tickers!D114="SMALLCAP100",Macro!$B$26&lt;40),Control!$B$11,0)</f>
        <v>50.7</v>
      </c>
      <c r="P114" s="3" t="str">
        <f aca="false">IF(B114=FALSE(),"-",IF(O114&gt;=Control!$B$7,"BUY",IF(O114&gt;=Control!$B$8,"ACCUMULATE",IF(O114&gt;=Control!$B$9,"HOLD","AVOID"))))</f>
        <v>-</v>
      </c>
      <c r="Q114" s="3" t="str">
        <f aca="false">IF(B114=FALSE(),"",IF(OR(O114&gt;=72,O114&lt;=32),"High",IF(OR(O114&gt;=62,O114&lt;=42),"Medium","Low")))</f>
        <v/>
      </c>
      <c r="R114" s="12" t="n">
        <f aca="false">IF(P114="BUY",Control!$B$12,IF(P114="ACCUMULATE",Control!$B$13,0))</f>
        <v>0</v>
      </c>
      <c r="S114" s="3" t="str">
        <f aca="false">IF(B114=FALSE(),"",IF(T114=C114,"Rich valuation",IF(T114=E114,"Weak growth",IF(T114=F114,"Balance-sheet leverage",IF(T114=I114,"Negative momentum","High volatility/drawdown")))))</f>
        <v/>
      </c>
      <c r="T114" s="3" t="n">
        <f aca="false">MIN(C114,E114,F114,I114,J114)</f>
        <v>50</v>
      </c>
      <c r="U114" s="3" t="n">
        <f aca="false">IF(B114=TRUE(),N114,-1000+ROW()/1000000)</f>
        <v>-999.999886</v>
      </c>
    </row>
    <row r="115" customFormat="false" ht="15" hidden="false" customHeight="false" outlineLevel="0" collapsed="false">
      <c r="A115" s="7" t="str">
        <f aca="false">Tickers!A115</f>
        <v>MEESHO</v>
      </c>
      <c r="B115" s="19" t="b">
        <f aca="false">Tickers!F115</f>
        <v>0</v>
      </c>
      <c r="C115" s="5" t="n">
        <f aca="false">AVERAGE(IF(NOT(ISNUMBER(Fundamentals!C115)),50,IF(Fundamentals!C115&lt;=0,15,100*(1-(SUMPRODUCT(($B$2:$B$151=TRUE())*ISNUMBER(Fundamentals!$C$2:$C$151)*(Fundamentals!$C$2:$C$151&gt;0)*(Fundamentals!$C$2:$C$151&lt;Fundamentals!C115))/MAX(1,SUMPRODUCT(($B$2:$B$151=TRUE())*ISNUMBER(Fundamentals!$C$2:$C$151)*(Fundamentals!$C$2:$C$151&gt;0))))))),IF(NOT(ISNUMBER(Fundamentals!E115)),50,IF(Fundamentals!E115&lt;=0,15,100*(1-(SUMPRODUCT(($B$2:$B$151=TRUE())*ISNUMBER(Fundamentals!$E$2:$E$151)*(Fundamentals!$E$2:$E$151&gt;0)*(Fundamentals!$E$2:$E$151&lt;Fundamentals!E115))/MAX(1,SUMPRODUCT(($B$2:$B$151=TRUE())*ISNUMBER(Fundamentals!$E$2:$E$151)*(Fundamentals!$E$2:$E$151&gt;0))))))))</f>
        <v>50</v>
      </c>
      <c r="D115" s="5" t="n">
        <f aca="false">AVERAGE(IF(NOT(ISNUMBER(Fundamentals!F115)),50,100*(SUMPRODUCT(($B$2:$B$151=TRUE())*ISNUMBER(Fundamentals!$F$2:$F$151)*(Fundamentals!$F$2:$F$151&lt;Fundamentals!F115))/MAX(1,SUMPRODUCT(($B$2:$B$151=TRUE())*ISNUMBER(Fundamentals!$F$2:$F$151))))),IF(NOT(ISNUMBER(Fundamentals!J115)),50,100*(SUMPRODUCT(($B$2:$B$151=TRUE())*ISNUMBER(Fundamentals!$J$2:$J$151)*(Fundamentals!$J$2:$J$151&lt;Fundamentals!J115))/MAX(1,SUMPRODUCT(($B$2:$B$151=TRUE())*ISNUMBER(Fundamentals!$J$2:$J$151))))))</f>
        <v>50</v>
      </c>
      <c r="E115" s="5" t="n">
        <f aca="false">AVERAGE(IF(NOT(ISNUMBER(Fundamentals!H115)),50,100*(SUMPRODUCT(($B$2:$B$151=TRUE())*ISNUMBER(Fundamentals!$H$2:$H$151)*(Fundamentals!$H$2:$H$151&lt;Fundamentals!H115))/MAX(1,SUMPRODUCT(($B$2:$B$151=TRUE())*ISNUMBER(Fundamentals!$H$2:$H$151))))),IF(NOT(ISNUMBER(Fundamentals!I115)),50,100*(SUMPRODUCT(($B$2:$B$151=TRUE())*ISNUMBER(Fundamentals!$I$2:$I$151)*(Fundamentals!$I$2:$I$151&lt;Fundamentals!I115))/MAX(1,SUMPRODUCT(($B$2:$B$151=TRUE())*ISNUMBER(Fundamentals!$I$2:$I$151))))))</f>
        <v>50</v>
      </c>
      <c r="F115" s="5" t="n">
        <f aca="false">IF(Tickers!C115="Financial Services",50,IF(NOT(ISNUMBER(Fundamentals!G115)),50,100*(1-(SUMPRODUCT(($B$2:$B$151=TRUE())*ISNUMBER(Fundamentals!$G$2:$G$151)*(Fundamentals!$G$2:$G$151&lt;Fundamentals!G115))/MAX(1,SUMPRODUCT(($B$2:$B$151=TRUE())*ISNUMBER(Fundamentals!$G$2:$G$151)))))))</f>
        <v>50</v>
      </c>
      <c r="G115" s="5" t="n">
        <f aca="false">AVERAGE(C115:F115)</f>
        <v>50</v>
      </c>
      <c r="H115" s="5" t="n">
        <f aca="false">MIN(100,MAX(0,IF(NOT(ISNUMBER(PriceMetrics!K115)),50,100*(SUMPRODUCT(($B$2:$B$151=TRUE())*ISNUMBER(PriceMetrics!$K$2:$K$151)*(PriceMetrics!$K$2:$K$151&lt;PriceMetrics!K115))/MAX(1,SUMPRODUCT(($B$2:$B$151=TRUE())*ISNUMBER(PriceMetrics!$K$2:$K$151)))))+IF(ISNUMBER(PriceMetrics!L115),10*PriceMetrics!L115,0)))</f>
        <v>50</v>
      </c>
      <c r="I115" s="5" t="n">
        <f aca="false">0.6*IF(NOT(ISNUMBER(PriceMetrics!P115)),50,100*(SUMPRODUCT(($B$2:$B$151=TRUE())*ISNUMBER(PriceMetrics!$P$2:$P$151)*(PriceMetrics!$P$2:$P$151&lt;PriceMetrics!P115))/MAX(1,SUMPRODUCT(($B$2:$B$151=TRUE())*ISNUMBER(PriceMetrics!$P$2:$P$151)))))+0.4*IF(NOT(ISNUMBER(PriceMetrics!H115)),50,IF(PriceMetrics!H115&gt;70,40,IF(PriceMetrics!H115&gt;=50,100,IF(PriceMetrics!H115&gt;=35,60,30))))</f>
        <v>50</v>
      </c>
      <c r="J115" s="5" t="n">
        <f aca="false">AVERAGE(IF(NOT(ISNUMBER(PriceMetrics!F115)),50,100*(1-(SUMPRODUCT(($B$2:$B$151=TRUE())*ISNUMBER(PriceMetrics!$F$2:$F$151)*(PriceMetrics!$F$2:$F$151&lt;PriceMetrics!F115))/MAX(1,SUMPRODUCT(($B$2:$B$151=TRUE())*ISNUMBER(PriceMetrics!$F$2:$F$151)))))),IF(NOT(ISNUMBER(PriceMetrics!G115)),50,100*(1-(SUMPRODUCT(($B$2:$B$151=TRUE())*ISNUMBER(PriceMetrics!$G$2:$G$151)*(ABS(PriceMetrics!$G$2:$G$151)&lt;ABS(PriceMetrics!G115)))/MAX(1,SUMPRODUCT(($B$2:$B$151=TRUE())*ISNUMBER(PriceMetrics!$G$2:$G$151)))))))</f>
        <v>50</v>
      </c>
      <c r="K115" s="5" t="n">
        <f aca="false">AVERAGE(H115:J115)</f>
        <v>50</v>
      </c>
      <c r="L115" s="8" t="n">
        <f aca="false">Macro!$B$26</f>
        <v>53.5</v>
      </c>
      <c r="M115" s="5" t="n">
        <f aca="false">Control!$B$3*100*G115/100+Control!$B$4*K115+Control!$B$5*L115</f>
        <v>50.7</v>
      </c>
      <c r="N115" s="3" t="n">
        <f aca="false">M115+ROW()/1000000</f>
        <v>50.700115</v>
      </c>
      <c r="O115" s="5" t="n">
        <f aca="false">M115-IF(AND(Tickers!D115="SMALLCAP100",Macro!$B$26&lt;40),Control!$B$11,0)</f>
        <v>50.7</v>
      </c>
      <c r="P115" s="3" t="str">
        <f aca="false">IF(B115=FALSE(),"-",IF(O115&gt;=Control!$B$7,"BUY",IF(O115&gt;=Control!$B$8,"ACCUMULATE",IF(O115&gt;=Control!$B$9,"HOLD","AVOID"))))</f>
        <v>-</v>
      </c>
      <c r="Q115" s="3" t="str">
        <f aca="false">IF(B115=FALSE(),"",IF(OR(O115&gt;=72,O115&lt;=32),"High",IF(OR(O115&gt;=62,O115&lt;=42),"Medium","Low")))</f>
        <v/>
      </c>
      <c r="R115" s="12" t="n">
        <f aca="false">IF(P115="BUY",Control!$B$12,IF(P115="ACCUMULATE",Control!$B$13,0))</f>
        <v>0</v>
      </c>
      <c r="S115" s="3" t="str">
        <f aca="false">IF(B115=FALSE(),"",IF(T115=C115,"Rich valuation",IF(T115=E115,"Weak growth",IF(T115=F115,"Balance-sheet leverage",IF(T115=I115,"Negative momentum","High volatility/drawdown")))))</f>
        <v/>
      </c>
      <c r="T115" s="3" t="n">
        <f aca="false">MIN(C115,E115,F115,I115,J115)</f>
        <v>50</v>
      </c>
      <c r="U115" s="3" t="n">
        <f aca="false">IF(B115=TRUE(),N115,-1000+ROW()/1000000)</f>
        <v>-999.999885</v>
      </c>
    </row>
    <row r="116" customFormat="false" ht="15" hidden="false" customHeight="false" outlineLevel="0" collapsed="false">
      <c r="A116" s="7" t="str">
        <f aca="false">Tickers!A116</f>
        <v>NATCOPHARM</v>
      </c>
      <c r="B116" s="19" t="b">
        <f aca="false">Tickers!F116</f>
        <v>0</v>
      </c>
      <c r="C116" s="5" t="n">
        <f aca="false">AVERAGE(IF(NOT(ISNUMBER(Fundamentals!C116)),50,IF(Fundamentals!C116&lt;=0,15,100*(1-(SUMPRODUCT(($B$2:$B$151=TRUE())*ISNUMBER(Fundamentals!$C$2:$C$151)*(Fundamentals!$C$2:$C$151&gt;0)*(Fundamentals!$C$2:$C$151&lt;Fundamentals!C116))/MAX(1,SUMPRODUCT(($B$2:$B$151=TRUE())*ISNUMBER(Fundamentals!$C$2:$C$151)*(Fundamentals!$C$2:$C$151&gt;0))))))),IF(NOT(ISNUMBER(Fundamentals!E116)),50,IF(Fundamentals!E116&lt;=0,15,100*(1-(SUMPRODUCT(($B$2:$B$151=TRUE())*ISNUMBER(Fundamentals!$E$2:$E$151)*(Fundamentals!$E$2:$E$151&gt;0)*(Fundamentals!$E$2:$E$151&lt;Fundamentals!E116))/MAX(1,SUMPRODUCT(($B$2:$B$151=TRUE())*ISNUMBER(Fundamentals!$E$2:$E$151)*(Fundamentals!$E$2:$E$151&gt;0))))))))</f>
        <v>50</v>
      </c>
      <c r="D116" s="5" t="n">
        <f aca="false">AVERAGE(IF(NOT(ISNUMBER(Fundamentals!F116)),50,100*(SUMPRODUCT(($B$2:$B$151=TRUE())*ISNUMBER(Fundamentals!$F$2:$F$151)*(Fundamentals!$F$2:$F$151&lt;Fundamentals!F116))/MAX(1,SUMPRODUCT(($B$2:$B$151=TRUE())*ISNUMBER(Fundamentals!$F$2:$F$151))))),IF(NOT(ISNUMBER(Fundamentals!J116)),50,100*(SUMPRODUCT(($B$2:$B$151=TRUE())*ISNUMBER(Fundamentals!$J$2:$J$151)*(Fundamentals!$J$2:$J$151&lt;Fundamentals!J116))/MAX(1,SUMPRODUCT(($B$2:$B$151=TRUE())*ISNUMBER(Fundamentals!$J$2:$J$151))))))</f>
        <v>50</v>
      </c>
      <c r="E116" s="5" t="n">
        <f aca="false">AVERAGE(IF(NOT(ISNUMBER(Fundamentals!H116)),50,100*(SUMPRODUCT(($B$2:$B$151=TRUE())*ISNUMBER(Fundamentals!$H$2:$H$151)*(Fundamentals!$H$2:$H$151&lt;Fundamentals!H116))/MAX(1,SUMPRODUCT(($B$2:$B$151=TRUE())*ISNUMBER(Fundamentals!$H$2:$H$151))))),IF(NOT(ISNUMBER(Fundamentals!I116)),50,100*(SUMPRODUCT(($B$2:$B$151=TRUE())*ISNUMBER(Fundamentals!$I$2:$I$151)*(Fundamentals!$I$2:$I$151&lt;Fundamentals!I116))/MAX(1,SUMPRODUCT(($B$2:$B$151=TRUE())*ISNUMBER(Fundamentals!$I$2:$I$151))))))</f>
        <v>50</v>
      </c>
      <c r="F116" s="5" t="n">
        <f aca="false">IF(Tickers!C116="Financial Services",50,IF(NOT(ISNUMBER(Fundamentals!G116)),50,100*(1-(SUMPRODUCT(($B$2:$B$151=TRUE())*ISNUMBER(Fundamentals!$G$2:$G$151)*(Fundamentals!$G$2:$G$151&lt;Fundamentals!G116))/MAX(1,SUMPRODUCT(($B$2:$B$151=TRUE())*ISNUMBER(Fundamentals!$G$2:$G$151)))))))</f>
        <v>50</v>
      </c>
      <c r="G116" s="5" t="n">
        <f aca="false">AVERAGE(C116:F116)</f>
        <v>50</v>
      </c>
      <c r="H116" s="5" t="n">
        <f aca="false">MIN(100,MAX(0,IF(NOT(ISNUMBER(PriceMetrics!K116)),50,100*(SUMPRODUCT(($B$2:$B$151=TRUE())*ISNUMBER(PriceMetrics!$K$2:$K$151)*(PriceMetrics!$K$2:$K$151&lt;PriceMetrics!K116))/MAX(1,SUMPRODUCT(($B$2:$B$151=TRUE())*ISNUMBER(PriceMetrics!$K$2:$K$151)))))+IF(ISNUMBER(PriceMetrics!L116),10*PriceMetrics!L116,0)))</f>
        <v>50</v>
      </c>
      <c r="I116" s="5" t="n">
        <f aca="false">0.6*IF(NOT(ISNUMBER(PriceMetrics!P116)),50,100*(SUMPRODUCT(($B$2:$B$151=TRUE())*ISNUMBER(PriceMetrics!$P$2:$P$151)*(PriceMetrics!$P$2:$P$151&lt;PriceMetrics!P116))/MAX(1,SUMPRODUCT(($B$2:$B$151=TRUE())*ISNUMBER(PriceMetrics!$P$2:$P$151)))))+0.4*IF(NOT(ISNUMBER(PriceMetrics!H116)),50,IF(PriceMetrics!H116&gt;70,40,IF(PriceMetrics!H116&gt;=50,100,IF(PriceMetrics!H116&gt;=35,60,30))))</f>
        <v>50</v>
      </c>
      <c r="J116" s="5" t="n">
        <f aca="false">AVERAGE(IF(NOT(ISNUMBER(PriceMetrics!F116)),50,100*(1-(SUMPRODUCT(($B$2:$B$151=TRUE())*ISNUMBER(PriceMetrics!$F$2:$F$151)*(PriceMetrics!$F$2:$F$151&lt;PriceMetrics!F116))/MAX(1,SUMPRODUCT(($B$2:$B$151=TRUE())*ISNUMBER(PriceMetrics!$F$2:$F$151)))))),IF(NOT(ISNUMBER(PriceMetrics!G116)),50,100*(1-(SUMPRODUCT(($B$2:$B$151=TRUE())*ISNUMBER(PriceMetrics!$G$2:$G$151)*(ABS(PriceMetrics!$G$2:$G$151)&lt;ABS(PriceMetrics!G116)))/MAX(1,SUMPRODUCT(($B$2:$B$151=TRUE())*ISNUMBER(PriceMetrics!$G$2:$G$151)))))))</f>
        <v>50</v>
      </c>
      <c r="K116" s="5" t="n">
        <f aca="false">AVERAGE(H116:J116)</f>
        <v>50</v>
      </c>
      <c r="L116" s="8" t="n">
        <f aca="false">Macro!$B$26</f>
        <v>53.5</v>
      </c>
      <c r="M116" s="5" t="n">
        <f aca="false">Control!$B$3*100*G116/100+Control!$B$4*K116+Control!$B$5*L116</f>
        <v>50.7</v>
      </c>
      <c r="N116" s="3" t="n">
        <f aca="false">M116+ROW()/1000000</f>
        <v>50.700116</v>
      </c>
      <c r="O116" s="5" t="n">
        <f aca="false">M116-IF(AND(Tickers!D116="SMALLCAP100",Macro!$B$26&lt;40),Control!$B$11,0)</f>
        <v>50.7</v>
      </c>
      <c r="P116" s="3" t="str">
        <f aca="false">IF(B116=FALSE(),"-",IF(O116&gt;=Control!$B$7,"BUY",IF(O116&gt;=Control!$B$8,"ACCUMULATE",IF(O116&gt;=Control!$B$9,"HOLD","AVOID"))))</f>
        <v>-</v>
      </c>
      <c r="Q116" s="3" t="str">
        <f aca="false">IF(B116=FALSE(),"",IF(OR(O116&gt;=72,O116&lt;=32),"High",IF(OR(O116&gt;=62,O116&lt;=42),"Medium","Low")))</f>
        <v/>
      </c>
      <c r="R116" s="12" t="n">
        <f aca="false">IF(P116="BUY",Control!$B$12,IF(P116="ACCUMULATE",Control!$B$13,0))</f>
        <v>0</v>
      </c>
      <c r="S116" s="3" t="str">
        <f aca="false">IF(B116=FALSE(),"",IF(T116=C116,"Rich valuation",IF(T116=E116,"Weak growth",IF(T116=F116,"Balance-sheet leverage",IF(T116=I116,"Negative momentum","High volatility/drawdown")))))</f>
        <v/>
      </c>
      <c r="T116" s="3" t="n">
        <f aca="false">MIN(C116,E116,F116,I116,J116)</f>
        <v>50</v>
      </c>
      <c r="U116" s="3" t="n">
        <f aca="false">IF(B116=TRUE(),N116,-1000+ROW()/1000000)</f>
        <v>-999.999884</v>
      </c>
    </row>
    <row r="117" customFormat="false" ht="15" hidden="false" customHeight="false" outlineLevel="0" collapsed="false">
      <c r="A117" s="7" t="str">
        <f aca="false">Tickers!A117</f>
        <v>NBCC</v>
      </c>
      <c r="B117" s="19" t="b">
        <f aca="false">Tickers!F117</f>
        <v>0</v>
      </c>
      <c r="C117" s="5" t="n">
        <f aca="false">AVERAGE(IF(NOT(ISNUMBER(Fundamentals!C117)),50,IF(Fundamentals!C117&lt;=0,15,100*(1-(SUMPRODUCT(($B$2:$B$151=TRUE())*ISNUMBER(Fundamentals!$C$2:$C$151)*(Fundamentals!$C$2:$C$151&gt;0)*(Fundamentals!$C$2:$C$151&lt;Fundamentals!C117))/MAX(1,SUMPRODUCT(($B$2:$B$151=TRUE())*ISNUMBER(Fundamentals!$C$2:$C$151)*(Fundamentals!$C$2:$C$151&gt;0))))))),IF(NOT(ISNUMBER(Fundamentals!E117)),50,IF(Fundamentals!E117&lt;=0,15,100*(1-(SUMPRODUCT(($B$2:$B$151=TRUE())*ISNUMBER(Fundamentals!$E$2:$E$151)*(Fundamentals!$E$2:$E$151&gt;0)*(Fundamentals!$E$2:$E$151&lt;Fundamentals!E117))/MAX(1,SUMPRODUCT(($B$2:$B$151=TRUE())*ISNUMBER(Fundamentals!$E$2:$E$151)*(Fundamentals!$E$2:$E$151&gt;0))))))))</f>
        <v>50</v>
      </c>
      <c r="D117" s="5" t="n">
        <f aca="false">AVERAGE(IF(NOT(ISNUMBER(Fundamentals!F117)),50,100*(SUMPRODUCT(($B$2:$B$151=TRUE())*ISNUMBER(Fundamentals!$F$2:$F$151)*(Fundamentals!$F$2:$F$151&lt;Fundamentals!F117))/MAX(1,SUMPRODUCT(($B$2:$B$151=TRUE())*ISNUMBER(Fundamentals!$F$2:$F$151))))),IF(NOT(ISNUMBER(Fundamentals!J117)),50,100*(SUMPRODUCT(($B$2:$B$151=TRUE())*ISNUMBER(Fundamentals!$J$2:$J$151)*(Fundamentals!$J$2:$J$151&lt;Fundamentals!J117))/MAX(1,SUMPRODUCT(($B$2:$B$151=TRUE())*ISNUMBER(Fundamentals!$J$2:$J$151))))))</f>
        <v>50</v>
      </c>
      <c r="E117" s="5" t="n">
        <f aca="false">AVERAGE(IF(NOT(ISNUMBER(Fundamentals!H117)),50,100*(SUMPRODUCT(($B$2:$B$151=TRUE())*ISNUMBER(Fundamentals!$H$2:$H$151)*(Fundamentals!$H$2:$H$151&lt;Fundamentals!H117))/MAX(1,SUMPRODUCT(($B$2:$B$151=TRUE())*ISNUMBER(Fundamentals!$H$2:$H$151))))),IF(NOT(ISNUMBER(Fundamentals!I117)),50,100*(SUMPRODUCT(($B$2:$B$151=TRUE())*ISNUMBER(Fundamentals!$I$2:$I$151)*(Fundamentals!$I$2:$I$151&lt;Fundamentals!I117))/MAX(1,SUMPRODUCT(($B$2:$B$151=TRUE())*ISNUMBER(Fundamentals!$I$2:$I$151))))))</f>
        <v>50</v>
      </c>
      <c r="F117" s="5" t="n">
        <f aca="false">IF(Tickers!C117="Financial Services",50,IF(NOT(ISNUMBER(Fundamentals!G117)),50,100*(1-(SUMPRODUCT(($B$2:$B$151=TRUE())*ISNUMBER(Fundamentals!$G$2:$G$151)*(Fundamentals!$G$2:$G$151&lt;Fundamentals!G117))/MAX(1,SUMPRODUCT(($B$2:$B$151=TRUE())*ISNUMBER(Fundamentals!$G$2:$G$151)))))))</f>
        <v>50</v>
      </c>
      <c r="G117" s="5" t="n">
        <f aca="false">AVERAGE(C117:F117)</f>
        <v>50</v>
      </c>
      <c r="H117" s="5" t="n">
        <f aca="false">MIN(100,MAX(0,IF(NOT(ISNUMBER(PriceMetrics!K117)),50,100*(SUMPRODUCT(($B$2:$B$151=TRUE())*ISNUMBER(PriceMetrics!$K$2:$K$151)*(PriceMetrics!$K$2:$K$151&lt;PriceMetrics!K117))/MAX(1,SUMPRODUCT(($B$2:$B$151=TRUE())*ISNUMBER(PriceMetrics!$K$2:$K$151)))))+IF(ISNUMBER(PriceMetrics!L117),10*PriceMetrics!L117,0)))</f>
        <v>50</v>
      </c>
      <c r="I117" s="5" t="n">
        <f aca="false">0.6*IF(NOT(ISNUMBER(PriceMetrics!P117)),50,100*(SUMPRODUCT(($B$2:$B$151=TRUE())*ISNUMBER(PriceMetrics!$P$2:$P$151)*(PriceMetrics!$P$2:$P$151&lt;PriceMetrics!P117))/MAX(1,SUMPRODUCT(($B$2:$B$151=TRUE())*ISNUMBER(PriceMetrics!$P$2:$P$151)))))+0.4*IF(NOT(ISNUMBER(PriceMetrics!H117)),50,IF(PriceMetrics!H117&gt;70,40,IF(PriceMetrics!H117&gt;=50,100,IF(PriceMetrics!H117&gt;=35,60,30))))</f>
        <v>50</v>
      </c>
      <c r="J117" s="5" t="n">
        <f aca="false">AVERAGE(IF(NOT(ISNUMBER(PriceMetrics!F117)),50,100*(1-(SUMPRODUCT(($B$2:$B$151=TRUE())*ISNUMBER(PriceMetrics!$F$2:$F$151)*(PriceMetrics!$F$2:$F$151&lt;PriceMetrics!F117))/MAX(1,SUMPRODUCT(($B$2:$B$151=TRUE())*ISNUMBER(PriceMetrics!$F$2:$F$151)))))),IF(NOT(ISNUMBER(PriceMetrics!G117)),50,100*(1-(SUMPRODUCT(($B$2:$B$151=TRUE())*ISNUMBER(PriceMetrics!$G$2:$G$151)*(ABS(PriceMetrics!$G$2:$G$151)&lt;ABS(PriceMetrics!G117)))/MAX(1,SUMPRODUCT(($B$2:$B$151=TRUE())*ISNUMBER(PriceMetrics!$G$2:$G$151)))))))</f>
        <v>50</v>
      </c>
      <c r="K117" s="5" t="n">
        <f aca="false">AVERAGE(H117:J117)</f>
        <v>50</v>
      </c>
      <c r="L117" s="8" t="n">
        <f aca="false">Macro!$B$26</f>
        <v>53.5</v>
      </c>
      <c r="M117" s="5" t="n">
        <f aca="false">Control!$B$3*100*G117/100+Control!$B$4*K117+Control!$B$5*L117</f>
        <v>50.7</v>
      </c>
      <c r="N117" s="3" t="n">
        <f aca="false">M117+ROW()/1000000</f>
        <v>50.700117</v>
      </c>
      <c r="O117" s="5" t="n">
        <f aca="false">M117-IF(AND(Tickers!D117="SMALLCAP100",Macro!$B$26&lt;40),Control!$B$11,0)</f>
        <v>50.7</v>
      </c>
      <c r="P117" s="3" t="str">
        <f aca="false">IF(B117=FALSE(),"-",IF(O117&gt;=Control!$B$7,"BUY",IF(O117&gt;=Control!$B$8,"ACCUMULATE",IF(O117&gt;=Control!$B$9,"HOLD","AVOID"))))</f>
        <v>-</v>
      </c>
      <c r="Q117" s="3" t="str">
        <f aca="false">IF(B117=FALSE(),"",IF(OR(O117&gt;=72,O117&lt;=32),"High",IF(OR(O117&gt;=62,O117&lt;=42),"Medium","Low")))</f>
        <v/>
      </c>
      <c r="R117" s="12" t="n">
        <f aca="false">IF(P117="BUY",Control!$B$12,IF(P117="ACCUMULATE",Control!$B$13,0))</f>
        <v>0</v>
      </c>
      <c r="S117" s="3" t="str">
        <f aca="false">IF(B117=FALSE(),"",IF(T117=C117,"Rich valuation",IF(T117=E117,"Weak growth",IF(T117=F117,"Balance-sheet leverage",IF(T117=I117,"Negative momentum","High volatility/drawdown")))))</f>
        <v/>
      </c>
      <c r="T117" s="3" t="n">
        <f aca="false">MIN(C117,E117,F117,I117,J117)</f>
        <v>50</v>
      </c>
      <c r="U117" s="3" t="n">
        <f aca="false">IF(B117=TRUE(),N117,-1000+ROW()/1000000)</f>
        <v>-999.999883</v>
      </c>
    </row>
    <row r="118" customFormat="false" ht="15" hidden="false" customHeight="false" outlineLevel="0" collapsed="false">
      <c r="A118" s="7" t="str">
        <f aca="false">Tickers!A118</f>
        <v>NH</v>
      </c>
      <c r="B118" s="19" t="b">
        <f aca="false">Tickers!F118</f>
        <v>0</v>
      </c>
      <c r="C118" s="5" t="n">
        <f aca="false">AVERAGE(IF(NOT(ISNUMBER(Fundamentals!C118)),50,IF(Fundamentals!C118&lt;=0,15,100*(1-(SUMPRODUCT(($B$2:$B$151=TRUE())*ISNUMBER(Fundamentals!$C$2:$C$151)*(Fundamentals!$C$2:$C$151&gt;0)*(Fundamentals!$C$2:$C$151&lt;Fundamentals!C118))/MAX(1,SUMPRODUCT(($B$2:$B$151=TRUE())*ISNUMBER(Fundamentals!$C$2:$C$151)*(Fundamentals!$C$2:$C$151&gt;0))))))),IF(NOT(ISNUMBER(Fundamentals!E118)),50,IF(Fundamentals!E118&lt;=0,15,100*(1-(SUMPRODUCT(($B$2:$B$151=TRUE())*ISNUMBER(Fundamentals!$E$2:$E$151)*(Fundamentals!$E$2:$E$151&gt;0)*(Fundamentals!$E$2:$E$151&lt;Fundamentals!E118))/MAX(1,SUMPRODUCT(($B$2:$B$151=TRUE())*ISNUMBER(Fundamentals!$E$2:$E$151)*(Fundamentals!$E$2:$E$151&gt;0))))))))</f>
        <v>50</v>
      </c>
      <c r="D118" s="5" t="n">
        <f aca="false">AVERAGE(IF(NOT(ISNUMBER(Fundamentals!F118)),50,100*(SUMPRODUCT(($B$2:$B$151=TRUE())*ISNUMBER(Fundamentals!$F$2:$F$151)*(Fundamentals!$F$2:$F$151&lt;Fundamentals!F118))/MAX(1,SUMPRODUCT(($B$2:$B$151=TRUE())*ISNUMBER(Fundamentals!$F$2:$F$151))))),IF(NOT(ISNUMBER(Fundamentals!J118)),50,100*(SUMPRODUCT(($B$2:$B$151=TRUE())*ISNUMBER(Fundamentals!$J$2:$J$151)*(Fundamentals!$J$2:$J$151&lt;Fundamentals!J118))/MAX(1,SUMPRODUCT(($B$2:$B$151=TRUE())*ISNUMBER(Fundamentals!$J$2:$J$151))))))</f>
        <v>50</v>
      </c>
      <c r="E118" s="5" t="n">
        <f aca="false">AVERAGE(IF(NOT(ISNUMBER(Fundamentals!H118)),50,100*(SUMPRODUCT(($B$2:$B$151=TRUE())*ISNUMBER(Fundamentals!$H$2:$H$151)*(Fundamentals!$H$2:$H$151&lt;Fundamentals!H118))/MAX(1,SUMPRODUCT(($B$2:$B$151=TRUE())*ISNUMBER(Fundamentals!$H$2:$H$151))))),IF(NOT(ISNUMBER(Fundamentals!I118)),50,100*(SUMPRODUCT(($B$2:$B$151=TRUE())*ISNUMBER(Fundamentals!$I$2:$I$151)*(Fundamentals!$I$2:$I$151&lt;Fundamentals!I118))/MAX(1,SUMPRODUCT(($B$2:$B$151=TRUE())*ISNUMBER(Fundamentals!$I$2:$I$151))))))</f>
        <v>50</v>
      </c>
      <c r="F118" s="5" t="n">
        <f aca="false">IF(Tickers!C118="Financial Services",50,IF(NOT(ISNUMBER(Fundamentals!G118)),50,100*(1-(SUMPRODUCT(($B$2:$B$151=TRUE())*ISNUMBER(Fundamentals!$G$2:$G$151)*(Fundamentals!$G$2:$G$151&lt;Fundamentals!G118))/MAX(1,SUMPRODUCT(($B$2:$B$151=TRUE())*ISNUMBER(Fundamentals!$G$2:$G$151)))))))</f>
        <v>50</v>
      </c>
      <c r="G118" s="5" t="n">
        <f aca="false">AVERAGE(C118:F118)</f>
        <v>50</v>
      </c>
      <c r="H118" s="5" t="n">
        <f aca="false">MIN(100,MAX(0,IF(NOT(ISNUMBER(PriceMetrics!K118)),50,100*(SUMPRODUCT(($B$2:$B$151=TRUE())*ISNUMBER(PriceMetrics!$K$2:$K$151)*(PriceMetrics!$K$2:$K$151&lt;PriceMetrics!K118))/MAX(1,SUMPRODUCT(($B$2:$B$151=TRUE())*ISNUMBER(PriceMetrics!$K$2:$K$151)))))+IF(ISNUMBER(PriceMetrics!L118),10*PriceMetrics!L118,0)))</f>
        <v>50</v>
      </c>
      <c r="I118" s="5" t="n">
        <f aca="false">0.6*IF(NOT(ISNUMBER(PriceMetrics!P118)),50,100*(SUMPRODUCT(($B$2:$B$151=TRUE())*ISNUMBER(PriceMetrics!$P$2:$P$151)*(PriceMetrics!$P$2:$P$151&lt;PriceMetrics!P118))/MAX(1,SUMPRODUCT(($B$2:$B$151=TRUE())*ISNUMBER(PriceMetrics!$P$2:$P$151)))))+0.4*IF(NOT(ISNUMBER(PriceMetrics!H118)),50,IF(PriceMetrics!H118&gt;70,40,IF(PriceMetrics!H118&gt;=50,100,IF(PriceMetrics!H118&gt;=35,60,30))))</f>
        <v>50</v>
      </c>
      <c r="J118" s="5" t="n">
        <f aca="false">AVERAGE(IF(NOT(ISNUMBER(PriceMetrics!F118)),50,100*(1-(SUMPRODUCT(($B$2:$B$151=TRUE())*ISNUMBER(PriceMetrics!$F$2:$F$151)*(PriceMetrics!$F$2:$F$151&lt;PriceMetrics!F118))/MAX(1,SUMPRODUCT(($B$2:$B$151=TRUE())*ISNUMBER(PriceMetrics!$F$2:$F$151)))))),IF(NOT(ISNUMBER(PriceMetrics!G118)),50,100*(1-(SUMPRODUCT(($B$2:$B$151=TRUE())*ISNUMBER(PriceMetrics!$G$2:$G$151)*(ABS(PriceMetrics!$G$2:$G$151)&lt;ABS(PriceMetrics!G118)))/MAX(1,SUMPRODUCT(($B$2:$B$151=TRUE())*ISNUMBER(PriceMetrics!$G$2:$G$151)))))))</f>
        <v>50</v>
      </c>
      <c r="K118" s="5" t="n">
        <f aca="false">AVERAGE(H118:J118)</f>
        <v>50</v>
      </c>
      <c r="L118" s="8" t="n">
        <f aca="false">Macro!$B$26</f>
        <v>53.5</v>
      </c>
      <c r="M118" s="5" t="n">
        <f aca="false">Control!$B$3*100*G118/100+Control!$B$4*K118+Control!$B$5*L118</f>
        <v>50.7</v>
      </c>
      <c r="N118" s="3" t="n">
        <f aca="false">M118+ROW()/1000000</f>
        <v>50.700118</v>
      </c>
      <c r="O118" s="5" t="n">
        <f aca="false">M118-IF(AND(Tickers!D118="SMALLCAP100",Macro!$B$26&lt;40),Control!$B$11,0)</f>
        <v>50.7</v>
      </c>
      <c r="P118" s="3" t="str">
        <f aca="false">IF(B118=FALSE(),"-",IF(O118&gt;=Control!$B$7,"BUY",IF(O118&gt;=Control!$B$8,"ACCUMULATE",IF(O118&gt;=Control!$B$9,"HOLD","AVOID"))))</f>
        <v>-</v>
      </c>
      <c r="Q118" s="3" t="str">
        <f aca="false">IF(B118=FALSE(),"",IF(OR(O118&gt;=72,O118&lt;=32),"High",IF(OR(O118&gt;=62,O118&lt;=42),"Medium","Low")))</f>
        <v/>
      </c>
      <c r="R118" s="12" t="n">
        <f aca="false">IF(P118="BUY",Control!$B$12,IF(P118="ACCUMULATE",Control!$B$13,0))</f>
        <v>0</v>
      </c>
      <c r="S118" s="3" t="str">
        <f aca="false">IF(B118=FALSE(),"",IF(T118=C118,"Rich valuation",IF(T118=E118,"Weak growth",IF(T118=F118,"Balance-sheet leverage",IF(T118=I118,"Negative momentum","High volatility/drawdown")))))</f>
        <v/>
      </c>
      <c r="T118" s="3" t="n">
        <f aca="false">MIN(C118,E118,F118,I118,J118)</f>
        <v>50</v>
      </c>
      <c r="U118" s="3" t="n">
        <f aca="false">IF(B118=TRUE(),N118,-1000+ROW()/1000000)</f>
        <v>-999.999882</v>
      </c>
    </row>
    <row r="119" customFormat="false" ht="15" hidden="false" customHeight="false" outlineLevel="0" collapsed="false">
      <c r="A119" s="7" t="str">
        <f aca="false">Tickers!A119</f>
        <v>NAVINFLUOR</v>
      </c>
      <c r="B119" s="19" t="b">
        <f aca="false">Tickers!F119</f>
        <v>0</v>
      </c>
      <c r="C119" s="5" t="n">
        <f aca="false">AVERAGE(IF(NOT(ISNUMBER(Fundamentals!C119)),50,IF(Fundamentals!C119&lt;=0,15,100*(1-(SUMPRODUCT(($B$2:$B$151=TRUE())*ISNUMBER(Fundamentals!$C$2:$C$151)*(Fundamentals!$C$2:$C$151&gt;0)*(Fundamentals!$C$2:$C$151&lt;Fundamentals!C119))/MAX(1,SUMPRODUCT(($B$2:$B$151=TRUE())*ISNUMBER(Fundamentals!$C$2:$C$151)*(Fundamentals!$C$2:$C$151&gt;0))))))),IF(NOT(ISNUMBER(Fundamentals!E119)),50,IF(Fundamentals!E119&lt;=0,15,100*(1-(SUMPRODUCT(($B$2:$B$151=TRUE())*ISNUMBER(Fundamentals!$E$2:$E$151)*(Fundamentals!$E$2:$E$151&gt;0)*(Fundamentals!$E$2:$E$151&lt;Fundamentals!E119))/MAX(1,SUMPRODUCT(($B$2:$B$151=TRUE())*ISNUMBER(Fundamentals!$E$2:$E$151)*(Fundamentals!$E$2:$E$151&gt;0))))))))</f>
        <v>50</v>
      </c>
      <c r="D119" s="5" t="n">
        <f aca="false">AVERAGE(IF(NOT(ISNUMBER(Fundamentals!F119)),50,100*(SUMPRODUCT(($B$2:$B$151=TRUE())*ISNUMBER(Fundamentals!$F$2:$F$151)*(Fundamentals!$F$2:$F$151&lt;Fundamentals!F119))/MAX(1,SUMPRODUCT(($B$2:$B$151=TRUE())*ISNUMBER(Fundamentals!$F$2:$F$151))))),IF(NOT(ISNUMBER(Fundamentals!J119)),50,100*(SUMPRODUCT(($B$2:$B$151=TRUE())*ISNUMBER(Fundamentals!$J$2:$J$151)*(Fundamentals!$J$2:$J$151&lt;Fundamentals!J119))/MAX(1,SUMPRODUCT(($B$2:$B$151=TRUE())*ISNUMBER(Fundamentals!$J$2:$J$151))))))</f>
        <v>50</v>
      </c>
      <c r="E119" s="5" t="n">
        <f aca="false">AVERAGE(IF(NOT(ISNUMBER(Fundamentals!H119)),50,100*(SUMPRODUCT(($B$2:$B$151=TRUE())*ISNUMBER(Fundamentals!$H$2:$H$151)*(Fundamentals!$H$2:$H$151&lt;Fundamentals!H119))/MAX(1,SUMPRODUCT(($B$2:$B$151=TRUE())*ISNUMBER(Fundamentals!$H$2:$H$151))))),IF(NOT(ISNUMBER(Fundamentals!I119)),50,100*(SUMPRODUCT(($B$2:$B$151=TRUE())*ISNUMBER(Fundamentals!$I$2:$I$151)*(Fundamentals!$I$2:$I$151&lt;Fundamentals!I119))/MAX(1,SUMPRODUCT(($B$2:$B$151=TRUE())*ISNUMBER(Fundamentals!$I$2:$I$151))))))</f>
        <v>50</v>
      </c>
      <c r="F119" s="5" t="n">
        <f aca="false">IF(Tickers!C119="Financial Services",50,IF(NOT(ISNUMBER(Fundamentals!G119)),50,100*(1-(SUMPRODUCT(($B$2:$B$151=TRUE())*ISNUMBER(Fundamentals!$G$2:$G$151)*(Fundamentals!$G$2:$G$151&lt;Fundamentals!G119))/MAX(1,SUMPRODUCT(($B$2:$B$151=TRUE())*ISNUMBER(Fundamentals!$G$2:$G$151)))))))</f>
        <v>50</v>
      </c>
      <c r="G119" s="5" t="n">
        <f aca="false">AVERAGE(C119:F119)</f>
        <v>50</v>
      </c>
      <c r="H119" s="5" t="n">
        <f aca="false">MIN(100,MAX(0,IF(NOT(ISNUMBER(PriceMetrics!K119)),50,100*(SUMPRODUCT(($B$2:$B$151=TRUE())*ISNUMBER(PriceMetrics!$K$2:$K$151)*(PriceMetrics!$K$2:$K$151&lt;PriceMetrics!K119))/MAX(1,SUMPRODUCT(($B$2:$B$151=TRUE())*ISNUMBER(PriceMetrics!$K$2:$K$151)))))+IF(ISNUMBER(PriceMetrics!L119),10*PriceMetrics!L119,0)))</f>
        <v>50</v>
      </c>
      <c r="I119" s="5" t="n">
        <f aca="false">0.6*IF(NOT(ISNUMBER(PriceMetrics!P119)),50,100*(SUMPRODUCT(($B$2:$B$151=TRUE())*ISNUMBER(PriceMetrics!$P$2:$P$151)*(PriceMetrics!$P$2:$P$151&lt;PriceMetrics!P119))/MAX(1,SUMPRODUCT(($B$2:$B$151=TRUE())*ISNUMBER(PriceMetrics!$P$2:$P$151)))))+0.4*IF(NOT(ISNUMBER(PriceMetrics!H119)),50,IF(PriceMetrics!H119&gt;70,40,IF(PriceMetrics!H119&gt;=50,100,IF(PriceMetrics!H119&gt;=35,60,30))))</f>
        <v>50</v>
      </c>
      <c r="J119" s="5" t="n">
        <f aca="false">AVERAGE(IF(NOT(ISNUMBER(PriceMetrics!F119)),50,100*(1-(SUMPRODUCT(($B$2:$B$151=TRUE())*ISNUMBER(PriceMetrics!$F$2:$F$151)*(PriceMetrics!$F$2:$F$151&lt;PriceMetrics!F119))/MAX(1,SUMPRODUCT(($B$2:$B$151=TRUE())*ISNUMBER(PriceMetrics!$F$2:$F$151)))))),IF(NOT(ISNUMBER(PriceMetrics!G119)),50,100*(1-(SUMPRODUCT(($B$2:$B$151=TRUE())*ISNUMBER(PriceMetrics!$G$2:$G$151)*(ABS(PriceMetrics!$G$2:$G$151)&lt;ABS(PriceMetrics!G119)))/MAX(1,SUMPRODUCT(($B$2:$B$151=TRUE())*ISNUMBER(PriceMetrics!$G$2:$G$151)))))))</f>
        <v>50</v>
      </c>
      <c r="K119" s="5" t="n">
        <f aca="false">AVERAGE(H119:J119)</f>
        <v>50</v>
      </c>
      <c r="L119" s="8" t="n">
        <f aca="false">Macro!$B$26</f>
        <v>53.5</v>
      </c>
      <c r="M119" s="5" t="n">
        <f aca="false">Control!$B$3*100*G119/100+Control!$B$4*K119+Control!$B$5*L119</f>
        <v>50.7</v>
      </c>
      <c r="N119" s="3" t="n">
        <f aca="false">M119+ROW()/1000000</f>
        <v>50.700119</v>
      </c>
      <c r="O119" s="5" t="n">
        <f aca="false">M119-IF(AND(Tickers!D119="SMALLCAP100",Macro!$B$26&lt;40),Control!$B$11,0)</f>
        <v>50.7</v>
      </c>
      <c r="P119" s="3" t="str">
        <f aca="false">IF(B119=FALSE(),"-",IF(O119&gt;=Control!$B$7,"BUY",IF(O119&gt;=Control!$B$8,"ACCUMULATE",IF(O119&gt;=Control!$B$9,"HOLD","AVOID"))))</f>
        <v>-</v>
      </c>
      <c r="Q119" s="3" t="str">
        <f aca="false">IF(B119=FALSE(),"",IF(OR(O119&gt;=72,O119&lt;=32),"High",IF(OR(O119&gt;=62,O119&lt;=42),"Medium","Low")))</f>
        <v/>
      </c>
      <c r="R119" s="12" t="n">
        <f aca="false">IF(P119="BUY",Control!$B$12,IF(P119="ACCUMULATE",Control!$B$13,0))</f>
        <v>0</v>
      </c>
      <c r="S119" s="3" t="str">
        <f aca="false">IF(B119=FALSE(),"",IF(T119=C119,"Rich valuation",IF(T119=E119,"Weak growth",IF(T119=F119,"Balance-sheet leverage",IF(T119=I119,"Negative momentum","High volatility/drawdown")))))</f>
        <v/>
      </c>
      <c r="T119" s="3" t="n">
        <f aca="false">MIN(C119,E119,F119,I119,J119)</f>
        <v>50</v>
      </c>
      <c r="U119" s="3" t="n">
        <f aca="false">IF(B119=TRUE(),N119,-1000+ROW()/1000000)</f>
        <v>-999.999881</v>
      </c>
    </row>
    <row r="120" customFormat="false" ht="15" hidden="false" customHeight="false" outlineLevel="0" collapsed="false">
      <c r="A120" s="7" t="str">
        <f aca="false">Tickers!A120</f>
        <v>NETWEB</v>
      </c>
      <c r="B120" s="19" t="b">
        <f aca="false">Tickers!F120</f>
        <v>0</v>
      </c>
      <c r="C120" s="5" t="n">
        <f aca="false">AVERAGE(IF(NOT(ISNUMBER(Fundamentals!C120)),50,IF(Fundamentals!C120&lt;=0,15,100*(1-(SUMPRODUCT(($B$2:$B$151=TRUE())*ISNUMBER(Fundamentals!$C$2:$C$151)*(Fundamentals!$C$2:$C$151&gt;0)*(Fundamentals!$C$2:$C$151&lt;Fundamentals!C120))/MAX(1,SUMPRODUCT(($B$2:$B$151=TRUE())*ISNUMBER(Fundamentals!$C$2:$C$151)*(Fundamentals!$C$2:$C$151&gt;0))))))),IF(NOT(ISNUMBER(Fundamentals!E120)),50,IF(Fundamentals!E120&lt;=0,15,100*(1-(SUMPRODUCT(($B$2:$B$151=TRUE())*ISNUMBER(Fundamentals!$E$2:$E$151)*(Fundamentals!$E$2:$E$151&gt;0)*(Fundamentals!$E$2:$E$151&lt;Fundamentals!E120))/MAX(1,SUMPRODUCT(($B$2:$B$151=TRUE())*ISNUMBER(Fundamentals!$E$2:$E$151)*(Fundamentals!$E$2:$E$151&gt;0))))))))</f>
        <v>50</v>
      </c>
      <c r="D120" s="5" t="n">
        <f aca="false">AVERAGE(IF(NOT(ISNUMBER(Fundamentals!F120)),50,100*(SUMPRODUCT(($B$2:$B$151=TRUE())*ISNUMBER(Fundamentals!$F$2:$F$151)*(Fundamentals!$F$2:$F$151&lt;Fundamentals!F120))/MAX(1,SUMPRODUCT(($B$2:$B$151=TRUE())*ISNUMBER(Fundamentals!$F$2:$F$151))))),IF(NOT(ISNUMBER(Fundamentals!J120)),50,100*(SUMPRODUCT(($B$2:$B$151=TRUE())*ISNUMBER(Fundamentals!$J$2:$J$151)*(Fundamentals!$J$2:$J$151&lt;Fundamentals!J120))/MAX(1,SUMPRODUCT(($B$2:$B$151=TRUE())*ISNUMBER(Fundamentals!$J$2:$J$151))))))</f>
        <v>50</v>
      </c>
      <c r="E120" s="5" t="n">
        <f aca="false">AVERAGE(IF(NOT(ISNUMBER(Fundamentals!H120)),50,100*(SUMPRODUCT(($B$2:$B$151=TRUE())*ISNUMBER(Fundamentals!$H$2:$H$151)*(Fundamentals!$H$2:$H$151&lt;Fundamentals!H120))/MAX(1,SUMPRODUCT(($B$2:$B$151=TRUE())*ISNUMBER(Fundamentals!$H$2:$H$151))))),IF(NOT(ISNUMBER(Fundamentals!I120)),50,100*(SUMPRODUCT(($B$2:$B$151=TRUE())*ISNUMBER(Fundamentals!$I$2:$I$151)*(Fundamentals!$I$2:$I$151&lt;Fundamentals!I120))/MAX(1,SUMPRODUCT(($B$2:$B$151=TRUE())*ISNUMBER(Fundamentals!$I$2:$I$151))))))</f>
        <v>50</v>
      </c>
      <c r="F120" s="5" t="n">
        <f aca="false">IF(Tickers!C120="Financial Services",50,IF(NOT(ISNUMBER(Fundamentals!G120)),50,100*(1-(SUMPRODUCT(($B$2:$B$151=TRUE())*ISNUMBER(Fundamentals!$G$2:$G$151)*(Fundamentals!$G$2:$G$151&lt;Fundamentals!G120))/MAX(1,SUMPRODUCT(($B$2:$B$151=TRUE())*ISNUMBER(Fundamentals!$G$2:$G$151)))))))</f>
        <v>50</v>
      </c>
      <c r="G120" s="5" t="n">
        <f aca="false">AVERAGE(C120:F120)</f>
        <v>50</v>
      </c>
      <c r="H120" s="5" t="n">
        <f aca="false">MIN(100,MAX(0,IF(NOT(ISNUMBER(PriceMetrics!K120)),50,100*(SUMPRODUCT(($B$2:$B$151=TRUE())*ISNUMBER(PriceMetrics!$K$2:$K$151)*(PriceMetrics!$K$2:$K$151&lt;PriceMetrics!K120))/MAX(1,SUMPRODUCT(($B$2:$B$151=TRUE())*ISNUMBER(PriceMetrics!$K$2:$K$151)))))+IF(ISNUMBER(PriceMetrics!L120),10*PriceMetrics!L120,0)))</f>
        <v>50</v>
      </c>
      <c r="I120" s="5" t="n">
        <f aca="false">0.6*IF(NOT(ISNUMBER(PriceMetrics!P120)),50,100*(SUMPRODUCT(($B$2:$B$151=TRUE())*ISNUMBER(PriceMetrics!$P$2:$P$151)*(PriceMetrics!$P$2:$P$151&lt;PriceMetrics!P120))/MAX(1,SUMPRODUCT(($B$2:$B$151=TRUE())*ISNUMBER(PriceMetrics!$P$2:$P$151)))))+0.4*IF(NOT(ISNUMBER(PriceMetrics!H120)),50,IF(PriceMetrics!H120&gt;70,40,IF(PriceMetrics!H120&gt;=50,100,IF(PriceMetrics!H120&gt;=35,60,30))))</f>
        <v>50</v>
      </c>
      <c r="J120" s="5" t="n">
        <f aca="false">AVERAGE(IF(NOT(ISNUMBER(PriceMetrics!F120)),50,100*(1-(SUMPRODUCT(($B$2:$B$151=TRUE())*ISNUMBER(PriceMetrics!$F$2:$F$151)*(PriceMetrics!$F$2:$F$151&lt;PriceMetrics!F120))/MAX(1,SUMPRODUCT(($B$2:$B$151=TRUE())*ISNUMBER(PriceMetrics!$F$2:$F$151)))))),IF(NOT(ISNUMBER(PriceMetrics!G120)),50,100*(1-(SUMPRODUCT(($B$2:$B$151=TRUE())*ISNUMBER(PriceMetrics!$G$2:$G$151)*(ABS(PriceMetrics!$G$2:$G$151)&lt;ABS(PriceMetrics!G120)))/MAX(1,SUMPRODUCT(($B$2:$B$151=TRUE())*ISNUMBER(PriceMetrics!$G$2:$G$151)))))))</f>
        <v>50</v>
      </c>
      <c r="K120" s="5" t="n">
        <f aca="false">AVERAGE(H120:J120)</f>
        <v>50</v>
      </c>
      <c r="L120" s="8" t="n">
        <f aca="false">Macro!$B$26</f>
        <v>53.5</v>
      </c>
      <c r="M120" s="5" t="n">
        <f aca="false">Control!$B$3*100*G120/100+Control!$B$4*K120+Control!$B$5*L120</f>
        <v>50.7</v>
      </c>
      <c r="N120" s="3" t="n">
        <f aca="false">M120+ROW()/1000000</f>
        <v>50.70012</v>
      </c>
      <c r="O120" s="5" t="n">
        <f aca="false">M120-IF(AND(Tickers!D120="SMALLCAP100",Macro!$B$26&lt;40),Control!$B$11,0)</f>
        <v>50.7</v>
      </c>
      <c r="P120" s="3" t="str">
        <f aca="false">IF(B120=FALSE(),"-",IF(O120&gt;=Control!$B$7,"BUY",IF(O120&gt;=Control!$B$8,"ACCUMULATE",IF(O120&gt;=Control!$B$9,"HOLD","AVOID"))))</f>
        <v>-</v>
      </c>
      <c r="Q120" s="3" t="str">
        <f aca="false">IF(B120=FALSE(),"",IF(OR(O120&gt;=72,O120&lt;=32),"High",IF(OR(O120&gt;=62,O120&lt;=42),"Medium","Low")))</f>
        <v/>
      </c>
      <c r="R120" s="12" t="n">
        <f aca="false">IF(P120="BUY",Control!$B$12,IF(P120="ACCUMULATE",Control!$B$13,0))</f>
        <v>0</v>
      </c>
      <c r="S120" s="3" t="str">
        <f aca="false">IF(B120=FALSE(),"",IF(T120=C120,"Rich valuation",IF(T120=E120,"Weak growth",IF(T120=F120,"Balance-sheet leverage",IF(T120=I120,"Negative momentum","High volatility/drawdown")))))</f>
        <v/>
      </c>
      <c r="T120" s="3" t="n">
        <f aca="false">MIN(C120,E120,F120,I120,J120)</f>
        <v>50</v>
      </c>
      <c r="U120" s="3" t="n">
        <f aca="false">IF(B120=TRUE(),N120,-1000+ROW()/1000000)</f>
        <v>-999.99988</v>
      </c>
    </row>
    <row r="121" customFormat="false" ht="15" hidden="false" customHeight="false" outlineLevel="0" collapsed="false">
      <c r="A121" s="7" t="str">
        <f aca="false">Tickers!A121</f>
        <v>NEULANDLAB</v>
      </c>
      <c r="B121" s="19" t="b">
        <f aca="false">Tickers!F121</f>
        <v>0</v>
      </c>
      <c r="C121" s="5" t="n">
        <f aca="false">AVERAGE(IF(NOT(ISNUMBER(Fundamentals!C121)),50,IF(Fundamentals!C121&lt;=0,15,100*(1-(SUMPRODUCT(($B$2:$B$151=TRUE())*ISNUMBER(Fundamentals!$C$2:$C$151)*(Fundamentals!$C$2:$C$151&gt;0)*(Fundamentals!$C$2:$C$151&lt;Fundamentals!C121))/MAX(1,SUMPRODUCT(($B$2:$B$151=TRUE())*ISNUMBER(Fundamentals!$C$2:$C$151)*(Fundamentals!$C$2:$C$151&gt;0))))))),IF(NOT(ISNUMBER(Fundamentals!E121)),50,IF(Fundamentals!E121&lt;=0,15,100*(1-(SUMPRODUCT(($B$2:$B$151=TRUE())*ISNUMBER(Fundamentals!$E$2:$E$151)*(Fundamentals!$E$2:$E$151&gt;0)*(Fundamentals!$E$2:$E$151&lt;Fundamentals!E121))/MAX(1,SUMPRODUCT(($B$2:$B$151=TRUE())*ISNUMBER(Fundamentals!$E$2:$E$151)*(Fundamentals!$E$2:$E$151&gt;0))))))))</f>
        <v>50</v>
      </c>
      <c r="D121" s="5" t="n">
        <f aca="false">AVERAGE(IF(NOT(ISNUMBER(Fundamentals!F121)),50,100*(SUMPRODUCT(($B$2:$B$151=TRUE())*ISNUMBER(Fundamentals!$F$2:$F$151)*(Fundamentals!$F$2:$F$151&lt;Fundamentals!F121))/MAX(1,SUMPRODUCT(($B$2:$B$151=TRUE())*ISNUMBER(Fundamentals!$F$2:$F$151))))),IF(NOT(ISNUMBER(Fundamentals!J121)),50,100*(SUMPRODUCT(($B$2:$B$151=TRUE())*ISNUMBER(Fundamentals!$J$2:$J$151)*(Fundamentals!$J$2:$J$151&lt;Fundamentals!J121))/MAX(1,SUMPRODUCT(($B$2:$B$151=TRUE())*ISNUMBER(Fundamentals!$J$2:$J$151))))))</f>
        <v>50</v>
      </c>
      <c r="E121" s="5" t="n">
        <f aca="false">AVERAGE(IF(NOT(ISNUMBER(Fundamentals!H121)),50,100*(SUMPRODUCT(($B$2:$B$151=TRUE())*ISNUMBER(Fundamentals!$H$2:$H$151)*(Fundamentals!$H$2:$H$151&lt;Fundamentals!H121))/MAX(1,SUMPRODUCT(($B$2:$B$151=TRUE())*ISNUMBER(Fundamentals!$H$2:$H$151))))),IF(NOT(ISNUMBER(Fundamentals!I121)),50,100*(SUMPRODUCT(($B$2:$B$151=TRUE())*ISNUMBER(Fundamentals!$I$2:$I$151)*(Fundamentals!$I$2:$I$151&lt;Fundamentals!I121))/MAX(1,SUMPRODUCT(($B$2:$B$151=TRUE())*ISNUMBER(Fundamentals!$I$2:$I$151))))))</f>
        <v>50</v>
      </c>
      <c r="F121" s="5" t="n">
        <f aca="false">IF(Tickers!C121="Financial Services",50,IF(NOT(ISNUMBER(Fundamentals!G121)),50,100*(1-(SUMPRODUCT(($B$2:$B$151=TRUE())*ISNUMBER(Fundamentals!$G$2:$G$151)*(Fundamentals!$G$2:$G$151&lt;Fundamentals!G121))/MAX(1,SUMPRODUCT(($B$2:$B$151=TRUE())*ISNUMBER(Fundamentals!$G$2:$G$151)))))))</f>
        <v>50</v>
      </c>
      <c r="G121" s="5" t="n">
        <f aca="false">AVERAGE(C121:F121)</f>
        <v>50</v>
      </c>
      <c r="H121" s="5" t="n">
        <f aca="false">MIN(100,MAX(0,IF(NOT(ISNUMBER(PriceMetrics!K121)),50,100*(SUMPRODUCT(($B$2:$B$151=TRUE())*ISNUMBER(PriceMetrics!$K$2:$K$151)*(PriceMetrics!$K$2:$K$151&lt;PriceMetrics!K121))/MAX(1,SUMPRODUCT(($B$2:$B$151=TRUE())*ISNUMBER(PriceMetrics!$K$2:$K$151)))))+IF(ISNUMBER(PriceMetrics!L121),10*PriceMetrics!L121,0)))</f>
        <v>50</v>
      </c>
      <c r="I121" s="5" t="n">
        <f aca="false">0.6*IF(NOT(ISNUMBER(PriceMetrics!P121)),50,100*(SUMPRODUCT(($B$2:$B$151=TRUE())*ISNUMBER(PriceMetrics!$P$2:$P$151)*(PriceMetrics!$P$2:$P$151&lt;PriceMetrics!P121))/MAX(1,SUMPRODUCT(($B$2:$B$151=TRUE())*ISNUMBER(PriceMetrics!$P$2:$P$151)))))+0.4*IF(NOT(ISNUMBER(PriceMetrics!H121)),50,IF(PriceMetrics!H121&gt;70,40,IF(PriceMetrics!H121&gt;=50,100,IF(PriceMetrics!H121&gt;=35,60,30))))</f>
        <v>50</v>
      </c>
      <c r="J121" s="5" t="n">
        <f aca="false">AVERAGE(IF(NOT(ISNUMBER(PriceMetrics!F121)),50,100*(1-(SUMPRODUCT(($B$2:$B$151=TRUE())*ISNUMBER(PriceMetrics!$F$2:$F$151)*(PriceMetrics!$F$2:$F$151&lt;PriceMetrics!F121))/MAX(1,SUMPRODUCT(($B$2:$B$151=TRUE())*ISNUMBER(PriceMetrics!$F$2:$F$151)))))),IF(NOT(ISNUMBER(PriceMetrics!G121)),50,100*(1-(SUMPRODUCT(($B$2:$B$151=TRUE())*ISNUMBER(PriceMetrics!$G$2:$G$151)*(ABS(PriceMetrics!$G$2:$G$151)&lt;ABS(PriceMetrics!G121)))/MAX(1,SUMPRODUCT(($B$2:$B$151=TRUE())*ISNUMBER(PriceMetrics!$G$2:$G$151)))))))</f>
        <v>50</v>
      </c>
      <c r="K121" s="5" t="n">
        <f aca="false">AVERAGE(H121:J121)</f>
        <v>50</v>
      </c>
      <c r="L121" s="8" t="n">
        <f aca="false">Macro!$B$26</f>
        <v>53.5</v>
      </c>
      <c r="M121" s="5" t="n">
        <f aca="false">Control!$B$3*100*G121/100+Control!$B$4*K121+Control!$B$5*L121</f>
        <v>50.7</v>
      </c>
      <c r="N121" s="3" t="n">
        <f aca="false">M121+ROW()/1000000</f>
        <v>50.700121</v>
      </c>
      <c r="O121" s="5" t="n">
        <f aca="false">M121-IF(AND(Tickers!D121="SMALLCAP100",Macro!$B$26&lt;40),Control!$B$11,0)</f>
        <v>50.7</v>
      </c>
      <c r="P121" s="3" t="str">
        <f aca="false">IF(B121=FALSE(),"-",IF(O121&gt;=Control!$B$7,"BUY",IF(O121&gt;=Control!$B$8,"ACCUMULATE",IF(O121&gt;=Control!$B$9,"HOLD","AVOID"))))</f>
        <v>-</v>
      </c>
      <c r="Q121" s="3" t="str">
        <f aca="false">IF(B121=FALSE(),"",IF(OR(O121&gt;=72,O121&lt;=32),"High",IF(OR(O121&gt;=62,O121&lt;=42),"Medium","Low")))</f>
        <v/>
      </c>
      <c r="R121" s="12" t="n">
        <f aca="false">IF(P121="BUY",Control!$B$12,IF(P121="ACCUMULATE",Control!$B$13,0))</f>
        <v>0</v>
      </c>
      <c r="S121" s="3" t="str">
        <f aca="false">IF(B121=FALSE(),"",IF(T121=C121,"Rich valuation",IF(T121=E121,"Weak growth",IF(T121=F121,"Balance-sheet leverage",IF(T121=I121,"Negative momentum","High volatility/drawdown")))))</f>
        <v/>
      </c>
      <c r="T121" s="3" t="n">
        <f aca="false">MIN(C121,E121,F121,I121,J121)</f>
        <v>50</v>
      </c>
      <c r="U121" s="3" t="n">
        <f aca="false">IF(B121=TRUE(),N121,-1000+ROW()/1000000)</f>
        <v>-999.999879</v>
      </c>
    </row>
    <row r="122" customFormat="false" ht="15" hidden="false" customHeight="false" outlineLevel="0" collapsed="false">
      <c r="A122" s="7" t="str">
        <f aca="false">Tickers!A122</f>
        <v>NUVAMA</v>
      </c>
      <c r="B122" s="19" t="b">
        <f aca="false">Tickers!F122</f>
        <v>0</v>
      </c>
      <c r="C122" s="5" t="n">
        <f aca="false">AVERAGE(IF(NOT(ISNUMBER(Fundamentals!C122)),50,IF(Fundamentals!C122&lt;=0,15,100*(1-(SUMPRODUCT(($B$2:$B$151=TRUE())*ISNUMBER(Fundamentals!$C$2:$C$151)*(Fundamentals!$C$2:$C$151&gt;0)*(Fundamentals!$C$2:$C$151&lt;Fundamentals!C122))/MAX(1,SUMPRODUCT(($B$2:$B$151=TRUE())*ISNUMBER(Fundamentals!$C$2:$C$151)*(Fundamentals!$C$2:$C$151&gt;0))))))),IF(NOT(ISNUMBER(Fundamentals!E122)),50,IF(Fundamentals!E122&lt;=0,15,100*(1-(SUMPRODUCT(($B$2:$B$151=TRUE())*ISNUMBER(Fundamentals!$E$2:$E$151)*(Fundamentals!$E$2:$E$151&gt;0)*(Fundamentals!$E$2:$E$151&lt;Fundamentals!E122))/MAX(1,SUMPRODUCT(($B$2:$B$151=TRUE())*ISNUMBER(Fundamentals!$E$2:$E$151)*(Fundamentals!$E$2:$E$151&gt;0))))))))</f>
        <v>50</v>
      </c>
      <c r="D122" s="5" t="n">
        <f aca="false">AVERAGE(IF(NOT(ISNUMBER(Fundamentals!F122)),50,100*(SUMPRODUCT(($B$2:$B$151=TRUE())*ISNUMBER(Fundamentals!$F$2:$F$151)*(Fundamentals!$F$2:$F$151&lt;Fundamentals!F122))/MAX(1,SUMPRODUCT(($B$2:$B$151=TRUE())*ISNUMBER(Fundamentals!$F$2:$F$151))))),IF(NOT(ISNUMBER(Fundamentals!J122)),50,100*(SUMPRODUCT(($B$2:$B$151=TRUE())*ISNUMBER(Fundamentals!$J$2:$J$151)*(Fundamentals!$J$2:$J$151&lt;Fundamentals!J122))/MAX(1,SUMPRODUCT(($B$2:$B$151=TRUE())*ISNUMBER(Fundamentals!$J$2:$J$151))))))</f>
        <v>50</v>
      </c>
      <c r="E122" s="5" t="n">
        <f aca="false">AVERAGE(IF(NOT(ISNUMBER(Fundamentals!H122)),50,100*(SUMPRODUCT(($B$2:$B$151=TRUE())*ISNUMBER(Fundamentals!$H$2:$H$151)*(Fundamentals!$H$2:$H$151&lt;Fundamentals!H122))/MAX(1,SUMPRODUCT(($B$2:$B$151=TRUE())*ISNUMBER(Fundamentals!$H$2:$H$151))))),IF(NOT(ISNUMBER(Fundamentals!I122)),50,100*(SUMPRODUCT(($B$2:$B$151=TRUE())*ISNUMBER(Fundamentals!$I$2:$I$151)*(Fundamentals!$I$2:$I$151&lt;Fundamentals!I122))/MAX(1,SUMPRODUCT(($B$2:$B$151=TRUE())*ISNUMBER(Fundamentals!$I$2:$I$151))))))</f>
        <v>50</v>
      </c>
      <c r="F122" s="5" t="n">
        <f aca="false">IF(Tickers!C122="Financial Services",50,IF(NOT(ISNUMBER(Fundamentals!G122)),50,100*(1-(SUMPRODUCT(($B$2:$B$151=TRUE())*ISNUMBER(Fundamentals!$G$2:$G$151)*(Fundamentals!$G$2:$G$151&lt;Fundamentals!G122))/MAX(1,SUMPRODUCT(($B$2:$B$151=TRUE())*ISNUMBER(Fundamentals!$G$2:$G$151)))))))</f>
        <v>50</v>
      </c>
      <c r="G122" s="5" t="n">
        <f aca="false">AVERAGE(C122:F122)</f>
        <v>50</v>
      </c>
      <c r="H122" s="5" t="n">
        <f aca="false">MIN(100,MAX(0,IF(NOT(ISNUMBER(PriceMetrics!K122)),50,100*(SUMPRODUCT(($B$2:$B$151=TRUE())*ISNUMBER(PriceMetrics!$K$2:$K$151)*(PriceMetrics!$K$2:$K$151&lt;PriceMetrics!K122))/MAX(1,SUMPRODUCT(($B$2:$B$151=TRUE())*ISNUMBER(PriceMetrics!$K$2:$K$151)))))+IF(ISNUMBER(PriceMetrics!L122),10*PriceMetrics!L122,0)))</f>
        <v>50</v>
      </c>
      <c r="I122" s="5" t="n">
        <f aca="false">0.6*IF(NOT(ISNUMBER(PriceMetrics!P122)),50,100*(SUMPRODUCT(($B$2:$B$151=TRUE())*ISNUMBER(PriceMetrics!$P$2:$P$151)*(PriceMetrics!$P$2:$P$151&lt;PriceMetrics!P122))/MAX(1,SUMPRODUCT(($B$2:$B$151=TRUE())*ISNUMBER(PriceMetrics!$P$2:$P$151)))))+0.4*IF(NOT(ISNUMBER(PriceMetrics!H122)),50,IF(PriceMetrics!H122&gt;70,40,IF(PriceMetrics!H122&gt;=50,100,IF(PriceMetrics!H122&gt;=35,60,30))))</f>
        <v>50</v>
      </c>
      <c r="J122" s="5" t="n">
        <f aca="false">AVERAGE(IF(NOT(ISNUMBER(PriceMetrics!F122)),50,100*(1-(SUMPRODUCT(($B$2:$B$151=TRUE())*ISNUMBER(PriceMetrics!$F$2:$F$151)*(PriceMetrics!$F$2:$F$151&lt;PriceMetrics!F122))/MAX(1,SUMPRODUCT(($B$2:$B$151=TRUE())*ISNUMBER(PriceMetrics!$F$2:$F$151)))))),IF(NOT(ISNUMBER(PriceMetrics!G122)),50,100*(1-(SUMPRODUCT(($B$2:$B$151=TRUE())*ISNUMBER(PriceMetrics!$G$2:$G$151)*(ABS(PriceMetrics!$G$2:$G$151)&lt;ABS(PriceMetrics!G122)))/MAX(1,SUMPRODUCT(($B$2:$B$151=TRUE())*ISNUMBER(PriceMetrics!$G$2:$G$151)))))))</f>
        <v>50</v>
      </c>
      <c r="K122" s="5" t="n">
        <f aca="false">AVERAGE(H122:J122)</f>
        <v>50</v>
      </c>
      <c r="L122" s="8" t="n">
        <f aca="false">Macro!$B$26</f>
        <v>53.5</v>
      </c>
      <c r="M122" s="5" t="n">
        <f aca="false">Control!$B$3*100*G122/100+Control!$B$4*K122+Control!$B$5*L122</f>
        <v>50.7</v>
      </c>
      <c r="N122" s="3" t="n">
        <f aca="false">M122+ROW()/1000000</f>
        <v>50.700122</v>
      </c>
      <c r="O122" s="5" t="n">
        <f aca="false">M122-IF(AND(Tickers!D122="SMALLCAP100",Macro!$B$26&lt;40),Control!$B$11,0)</f>
        <v>50.7</v>
      </c>
      <c r="P122" s="3" t="str">
        <f aca="false">IF(B122=FALSE(),"-",IF(O122&gt;=Control!$B$7,"BUY",IF(O122&gt;=Control!$B$8,"ACCUMULATE",IF(O122&gt;=Control!$B$9,"HOLD","AVOID"))))</f>
        <v>-</v>
      </c>
      <c r="Q122" s="3" t="str">
        <f aca="false">IF(B122=FALSE(),"",IF(OR(O122&gt;=72,O122&lt;=32),"High",IF(OR(O122&gt;=62,O122&lt;=42),"Medium","Low")))</f>
        <v/>
      </c>
      <c r="R122" s="12" t="n">
        <f aca="false">IF(P122="BUY",Control!$B$12,IF(P122="ACCUMULATE",Control!$B$13,0))</f>
        <v>0</v>
      </c>
      <c r="S122" s="3" t="str">
        <f aca="false">IF(B122=FALSE(),"",IF(T122=C122,"Rich valuation",IF(T122=E122,"Weak growth",IF(T122=F122,"Balance-sheet leverage",IF(T122=I122,"Negative momentum","High volatility/drawdown")))))</f>
        <v/>
      </c>
      <c r="T122" s="3" t="n">
        <f aca="false">MIN(C122,E122,F122,I122,J122)</f>
        <v>50</v>
      </c>
      <c r="U122" s="3" t="n">
        <f aca="false">IF(B122=TRUE(),N122,-1000+ROW()/1000000)</f>
        <v>-999.999878</v>
      </c>
    </row>
    <row r="123" customFormat="false" ht="15" hidden="false" customHeight="false" outlineLevel="0" collapsed="false">
      <c r="A123" s="7" t="str">
        <f aca="false">Tickers!A123</f>
        <v>OLAELEC</v>
      </c>
      <c r="B123" s="19" t="b">
        <f aca="false">Tickers!F123</f>
        <v>0</v>
      </c>
      <c r="C123" s="5" t="n">
        <f aca="false">AVERAGE(IF(NOT(ISNUMBER(Fundamentals!C123)),50,IF(Fundamentals!C123&lt;=0,15,100*(1-(SUMPRODUCT(($B$2:$B$151=TRUE())*ISNUMBER(Fundamentals!$C$2:$C$151)*(Fundamentals!$C$2:$C$151&gt;0)*(Fundamentals!$C$2:$C$151&lt;Fundamentals!C123))/MAX(1,SUMPRODUCT(($B$2:$B$151=TRUE())*ISNUMBER(Fundamentals!$C$2:$C$151)*(Fundamentals!$C$2:$C$151&gt;0))))))),IF(NOT(ISNUMBER(Fundamentals!E123)),50,IF(Fundamentals!E123&lt;=0,15,100*(1-(SUMPRODUCT(($B$2:$B$151=TRUE())*ISNUMBER(Fundamentals!$E$2:$E$151)*(Fundamentals!$E$2:$E$151&gt;0)*(Fundamentals!$E$2:$E$151&lt;Fundamentals!E123))/MAX(1,SUMPRODUCT(($B$2:$B$151=TRUE())*ISNUMBER(Fundamentals!$E$2:$E$151)*(Fundamentals!$E$2:$E$151&gt;0))))))))</f>
        <v>50</v>
      </c>
      <c r="D123" s="5" t="n">
        <f aca="false">AVERAGE(IF(NOT(ISNUMBER(Fundamentals!F123)),50,100*(SUMPRODUCT(($B$2:$B$151=TRUE())*ISNUMBER(Fundamentals!$F$2:$F$151)*(Fundamentals!$F$2:$F$151&lt;Fundamentals!F123))/MAX(1,SUMPRODUCT(($B$2:$B$151=TRUE())*ISNUMBER(Fundamentals!$F$2:$F$151))))),IF(NOT(ISNUMBER(Fundamentals!J123)),50,100*(SUMPRODUCT(($B$2:$B$151=TRUE())*ISNUMBER(Fundamentals!$J$2:$J$151)*(Fundamentals!$J$2:$J$151&lt;Fundamentals!J123))/MAX(1,SUMPRODUCT(($B$2:$B$151=TRUE())*ISNUMBER(Fundamentals!$J$2:$J$151))))))</f>
        <v>50</v>
      </c>
      <c r="E123" s="5" t="n">
        <f aca="false">AVERAGE(IF(NOT(ISNUMBER(Fundamentals!H123)),50,100*(SUMPRODUCT(($B$2:$B$151=TRUE())*ISNUMBER(Fundamentals!$H$2:$H$151)*(Fundamentals!$H$2:$H$151&lt;Fundamentals!H123))/MAX(1,SUMPRODUCT(($B$2:$B$151=TRUE())*ISNUMBER(Fundamentals!$H$2:$H$151))))),IF(NOT(ISNUMBER(Fundamentals!I123)),50,100*(SUMPRODUCT(($B$2:$B$151=TRUE())*ISNUMBER(Fundamentals!$I$2:$I$151)*(Fundamentals!$I$2:$I$151&lt;Fundamentals!I123))/MAX(1,SUMPRODUCT(($B$2:$B$151=TRUE())*ISNUMBER(Fundamentals!$I$2:$I$151))))))</f>
        <v>50</v>
      </c>
      <c r="F123" s="5" t="n">
        <f aca="false">IF(Tickers!C123="Financial Services",50,IF(NOT(ISNUMBER(Fundamentals!G123)),50,100*(1-(SUMPRODUCT(($B$2:$B$151=TRUE())*ISNUMBER(Fundamentals!$G$2:$G$151)*(Fundamentals!$G$2:$G$151&lt;Fundamentals!G123))/MAX(1,SUMPRODUCT(($B$2:$B$151=TRUE())*ISNUMBER(Fundamentals!$G$2:$G$151)))))))</f>
        <v>50</v>
      </c>
      <c r="G123" s="5" t="n">
        <f aca="false">AVERAGE(C123:F123)</f>
        <v>50</v>
      </c>
      <c r="H123" s="5" t="n">
        <f aca="false">MIN(100,MAX(0,IF(NOT(ISNUMBER(PriceMetrics!K123)),50,100*(SUMPRODUCT(($B$2:$B$151=TRUE())*ISNUMBER(PriceMetrics!$K$2:$K$151)*(PriceMetrics!$K$2:$K$151&lt;PriceMetrics!K123))/MAX(1,SUMPRODUCT(($B$2:$B$151=TRUE())*ISNUMBER(PriceMetrics!$K$2:$K$151)))))+IF(ISNUMBER(PriceMetrics!L123),10*PriceMetrics!L123,0)))</f>
        <v>50</v>
      </c>
      <c r="I123" s="5" t="n">
        <f aca="false">0.6*IF(NOT(ISNUMBER(PriceMetrics!P123)),50,100*(SUMPRODUCT(($B$2:$B$151=TRUE())*ISNUMBER(PriceMetrics!$P$2:$P$151)*(PriceMetrics!$P$2:$P$151&lt;PriceMetrics!P123))/MAX(1,SUMPRODUCT(($B$2:$B$151=TRUE())*ISNUMBER(PriceMetrics!$P$2:$P$151)))))+0.4*IF(NOT(ISNUMBER(PriceMetrics!H123)),50,IF(PriceMetrics!H123&gt;70,40,IF(PriceMetrics!H123&gt;=50,100,IF(PriceMetrics!H123&gt;=35,60,30))))</f>
        <v>50</v>
      </c>
      <c r="J123" s="5" t="n">
        <f aca="false">AVERAGE(IF(NOT(ISNUMBER(PriceMetrics!F123)),50,100*(1-(SUMPRODUCT(($B$2:$B$151=TRUE())*ISNUMBER(PriceMetrics!$F$2:$F$151)*(PriceMetrics!$F$2:$F$151&lt;PriceMetrics!F123))/MAX(1,SUMPRODUCT(($B$2:$B$151=TRUE())*ISNUMBER(PriceMetrics!$F$2:$F$151)))))),IF(NOT(ISNUMBER(PriceMetrics!G123)),50,100*(1-(SUMPRODUCT(($B$2:$B$151=TRUE())*ISNUMBER(PriceMetrics!$G$2:$G$151)*(ABS(PriceMetrics!$G$2:$G$151)&lt;ABS(PriceMetrics!G123)))/MAX(1,SUMPRODUCT(($B$2:$B$151=TRUE())*ISNUMBER(PriceMetrics!$G$2:$G$151)))))))</f>
        <v>50</v>
      </c>
      <c r="K123" s="5" t="n">
        <f aca="false">AVERAGE(H123:J123)</f>
        <v>50</v>
      </c>
      <c r="L123" s="8" t="n">
        <f aca="false">Macro!$B$26</f>
        <v>53.5</v>
      </c>
      <c r="M123" s="5" t="n">
        <f aca="false">Control!$B$3*100*G123/100+Control!$B$4*K123+Control!$B$5*L123</f>
        <v>50.7</v>
      </c>
      <c r="N123" s="3" t="n">
        <f aca="false">M123+ROW()/1000000</f>
        <v>50.700123</v>
      </c>
      <c r="O123" s="5" t="n">
        <f aca="false">M123-IF(AND(Tickers!D123="SMALLCAP100",Macro!$B$26&lt;40),Control!$B$11,0)</f>
        <v>50.7</v>
      </c>
      <c r="P123" s="3" t="str">
        <f aca="false">IF(B123=FALSE(),"-",IF(O123&gt;=Control!$B$7,"BUY",IF(O123&gt;=Control!$B$8,"ACCUMULATE",IF(O123&gt;=Control!$B$9,"HOLD","AVOID"))))</f>
        <v>-</v>
      </c>
      <c r="Q123" s="3" t="str">
        <f aca="false">IF(B123=FALSE(),"",IF(OR(O123&gt;=72,O123&lt;=32),"High",IF(OR(O123&gt;=62,O123&lt;=42),"Medium","Low")))</f>
        <v/>
      </c>
      <c r="R123" s="12" t="n">
        <f aca="false">IF(P123="BUY",Control!$B$12,IF(P123="ACCUMULATE",Control!$B$13,0))</f>
        <v>0</v>
      </c>
      <c r="S123" s="3" t="str">
        <f aca="false">IF(B123=FALSE(),"",IF(T123=C123,"Rich valuation",IF(T123=E123,"Weak growth",IF(T123=F123,"Balance-sheet leverage",IF(T123=I123,"Negative momentum","High volatility/drawdown")))))</f>
        <v/>
      </c>
      <c r="T123" s="3" t="n">
        <f aca="false">MIN(C123,E123,F123,I123,J123)</f>
        <v>50</v>
      </c>
      <c r="U123" s="3" t="n">
        <f aca="false">IF(B123=TRUE(),N123,-1000+ROW()/1000000)</f>
        <v>-999.999877</v>
      </c>
    </row>
    <row r="124" customFormat="false" ht="15" hidden="false" customHeight="false" outlineLevel="0" collapsed="false">
      <c r="A124" s="7" t="str">
        <f aca="false">Tickers!A124</f>
        <v>PGEL</v>
      </c>
      <c r="B124" s="19" t="b">
        <f aca="false">Tickers!F124</f>
        <v>0</v>
      </c>
      <c r="C124" s="5" t="n">
        <f aca="false">AVERAGE(IF(NOT(ISNUMBER(Fundamentals!C124)),50,IF(Fundamentals!C124&lt;=0,15,100*(1-(SUMPRODUCT(($B$2:$B$151=TRUE())*ISNUMBER(Fundamentals!$C$2:$C$151)*(Fundamentals!$C$2:$C$151&gt;0)*(Fundamentals!$C$2:$C$151&lt;Fundamentals!C124))/MAX(1,SUMPRODUCT(($B$2:$B$151=TRUE())*ISNUMBER(Fundamentals!$C$2:$C$151)*(Fundamentals!$C$2:$C$151&gt;0))))))),IF(NOT(ISNUMBER(Fundamentals!E124)),50,IF(Fundamentals!E124&lt;=0,15,100*(1-(SUMPRODUCT(($B$2:$B$151=TRUE())*ISNUMBER(Fundamentals!$E$2:$E$151)*(Fundamentals!$E$2:$E$151&gt;0)*(Fundamentals!$E$2:$E$151&lt;Fundamentals!E124))/MAX(1,SUMPRODUCT(($B$2:$B$151=TRUE())*ISNUMBER(Fundamentals!$E$2:$E$151)*(Fundamentals!$E$2:$E$151&gt;0))))))))</f>
        <v>50</v>
      </c>
      <c r="D124" s="5" t="n">
        <f aca="false">AVERAGE(IF(NOT(ISNUMBER(Fundamentals!F124)),50,100*(SUMPRODUCT(($B$2:$B$151=TRUE())*ISNUMBER(Fundamentals!$F$2:$F$151)*(Fundamentals!$F$2:$F$151&lt;Fundamentals!F124))/MAX(1,SUMPRODUCT(($B$2:$B$151=TRUE())*ISNUMBER(Fundamentals!$F$2:$F$151))))),IF(NOT(ISNUMBER(Fundamentals!J124)),50,100*(SUMPRODUCT(($B$2:$B$151=TRUE())*ISNUMBER(Fundamentals!$J$2:$J$151)*(Fundamentals!$J$2:$J$151&lt;Fundamentals!J124))/MAX(1,SUMPRODUCT(($B$2:$B$151=TRUE())*ISNUMBER(Fundamentals!$J$2:$J$151))))))</f>
        <v>50</v>
      </c>
      <c r="E124" s="5" t="n">
        <f aca="false">AVERAGE(IF(NOT(ISNUMBER(Fundamentals!H124)),50,100*(SUMPRODUCT(($B$2:$B$151=TRUE())*ISNUMBER(Fundamentals!$H$2:$H$151)*(Fundamentals!$H$2:$H$151&lt;Fundamentals!H124))/MAX(1,SUMPRODUCT(($B$2:$B$151=TRUE())*ISNUMBER(Fundamentals!$H$2:$H$151))))),IF(NOT(ISNUMBER(Fundamentals!I124)),50,100*(SUMPRODUCT(($B$2:$B$151=TRUE())*ISNUMBER(Fundamentals!$I$2:$I$151)*(Fundamentals!$I$2:$I$151&lt;Fundamentals!I124))/MAX(1,SUMPRODUCT(($B$2:$B$151=TRUE())*ISNUMBER(Fundamentals!$I$2:$I$151))))))</f>
        <v>50</v>
      </c>
      <c r="F124" s="5" t="n">
        <f aca="false">IF(Tickers!C124="Financial Services",50,IF(NOT(ISNUMBER(Fundamentals!G124)),50,100*(1-(SUMPRODUCT(($B$2:$B$151=TRUE())*ISNUMBER(Fundamentals!$G$2:$G$151)*(Fundamentals!$G$2:$G$151&lt;Fundamentals!G124))/MAX(1,SUMPRODUCT(($B$2:$B$151=TRUE())*ISNUMBER(Fundamentals!$G$2:$G$151)))))))</f>
        <v>50</v>
      </c>
      <c r="G124" s="5" t="n">
        <f aca="false">AVERAGE(C124:F124)</f>
        <v>50</v>
      </c>
      <c r="H124" s="5" t="n">
        <f aca="false">MIN(100,MAX(0,IF(NOT(ISNUMBER(PriceMetrics!K124)),50,100*(SUMPRODUCT(($B$2:$B$151=TRUE())*ISNUMBER(PriceMetrics!$K$2:$K$151)*(PriceMetrics!$K$2:$K$151&lt;PriceMetrics!K124))/MAX(1,SUMPRODUCT(($B$2:$B$151=TRUE())*ISNUMBER(PriceMetrics!$K$2:$K$151)))))+IF(ISNUMBER(PriceMetrics!L124),10*PriceMetrics!L124,0)))</f>
        <v>50</v>
      </c>
      <c r="I124" s="5" t="n">
        <f aca="false">0.6*IF(NOT(ISNUMBER(PriceMetrics!P124)),50,100*(SUMPRODUCT(($B$2:$B$151=TRUE())*ISNUMBER(PriceMetrics!$P$2:$P$151)*(PriceMetrics!$P$2:$P$151&lt;PriceMetrics!P124))/MAX(1,SUMPRODUCT(($B$2:$B$151=TRUE())*ISNUMBER(PriceMetrics!$P$2:$P$151)))))+0.4*IF(NOT(ISNUMBER(PriceMetrics!H124)),50,IF(PriceMetrics!H124&gt;70,40,IF(PriceMetrics!H124&gt;=50,100,IF(PriceMetrics!H124&gt;=35,60,30))))</f>
        <v>50</v>
      </c>
      <c r="J124" s="5" t="n">
        <f aca="false">AVERAGE(IF(NOT(ISNUMBER(PriceMetrics!F124)),50,100*(1-(SUMPRODUCT(($B$2:$B$151=TRUE())*ISNUMBER(PriceMetrics!$F$2:$F$151)*(PriceMetrics!$F$2:$F$151&lt;PriceMetrics!F124))/MAX(1,SUMPRODUCT(($B$2:$B$151=TRUE())*ISNUMBER(PriceMetrics!$F$2:$F$151)))))),IF(NOT(ISNUMBER(PriceMetrics!G124)),50,100*(1-(SUMPRODUCT(($B$2:$B$151=TRUE())*ISNUMBER(PriceMetrics!$G$2:$G$151)*(ABS(PriceMetrics!$G$2:$G$151)&lt;ABS(PriceMetrics!G124)))/MAX(1,SUMPRODUCT(($B$2:$B$151=TRUE())*ISNUMBER(PriceMetrics!$G$2:$G$151)))))))</f>
        <v>50</v>
      </c>
      <c r="K124" s="5" t="n">
        <f aca="false">AVERAGE(H124:J124)</f>
        <v>50</v>
      </c>
      <c r="L124" s="8" t="n">
        <f aca="false">Macro!$B$26</f>
        <v>53.5</v>
      </c>
      <c r="M124" s="5" t="n">
        <f aca="false">Control!$B$3*100*G124/100+Control!$B$4*K124+Control!$B$5*L124</f>
        <v>50.7</v>
      </c>
      <c r="N124" s="3" t="n">
        <f aca="false">M124+ROW()/1000000</f>
        <v>50.700124</v>
      </c>
      <c r="O124" s="5" t="n">
        <f aca="false">M124-IF(AND(Tickers!D124="SMALLCAP100",Macro!$B$26&lt;40),Control!$B$11,0)</f>
        <v>50.7</v>
      </c>
      <c r="P124" s="3" t="str">
        <f aca="false">IF(B124=FALSE(),"-",IF(O124&gt;=Control!$B$7,"BUY",IF(O124&gt;=Control!$B$8,"ACCUMULATE",IF(O124&gt;=Control!$B$9,"HOLD","AVOID"))))</f>
        <v>-</v>
      </c>
      <c r="Q124" s="3" t="str">
        <f aca="false">IF(B124=FALSE(),"",IF(OR(O124&gt;=72,O124&lt;=32),"High",IF(OR(O124&gt;=62,O124&lt;=42),"Medium","Low")))</f>
        <v/>
      </c>
      <c r="R124" s="12" t="n">
        <f aca="false">IF(P124="BUY",Control!$B$12,IF(P124="ACCUMULATE",Control!$B$13,0))</f>
        <v>0</v>
      </c>
      <c r="S124" s="3" t="str">
        <f aca="false">IF(B124=FALSE(),"",IF(T124=C124,"Rich valuation",IF(T124=E124,"Weak growth",IF(T124=F124,"Balance-sheet leverage",IF(T124=I124,"Negative momentum","High volatility/drawdown")))))</f>
        <v/>
      </c>
      <c r="T124" s="3" t="n">
        <f aca="false">MIN(C124,E124,F124,I124,J124)</f>
        <v>50</v>
      </c>
      <c r="U124" s="3" t="n">
        <f aca="false">IF(B124=TRUE(),N124,-1000+ROW()/1000000)</f>
        <v>-999.999876</v>
      </c>
    </row>
    <row r="125" customFormat="false" ht="15" hidden="false" customHeight="false" outlineLevel="0" collapsed="false">
      <c r="A125" s="7" t="str">
        <f aca="false">Tickers!A125</f>
        <v>PNBHOUSING</v>
      </c>
      <c r="B125" s="19" t="b">
        <f aca="false">Tickers!F125</f>
        <v>0</v>
      </c>
      <c r="C125" s="5" t="n">
        <f aca="false">AVERAGE(IF(NOT(ISNUMBER(Fundamentals!C125)),50,IF(Fundamentals!C125&lt;=0,15,100*(1-(SUMPRODUCT(($B$2:$B$151=TRUE())*ISNUMBER(Fundamentals!$C$2:$C$151)*(Fundamentals!$C$2:$C$151&gt;0)*(Fundamentals!$C$2:$C$151&lt;Fundamentals!C125))/MAX(1,SUMPRODUCT(($B$2:$B$151=TRUE())*ISNUMBER(Fundamentals!$C$2:$C$151)*(Fundamentals!$C$2:$C$151&gt;0))))))),IF(NOT(ISNUMBER(Fundamentals!E125)),50,IF(Fundamentals!E125&lt;=0,15,100*(1-(SUMPRODUCT(($B$2:$B$151=TRUE())*ISNUMBER(Fundamentals!$E$2:$E$151)*(Fundamentals!$E$2:$E$151&gt;0)*(Fundamentals!$E$2:$E$151&lt;Fundamentals!E125))/MAX(1,SUMPRODUCT(($B$2:$B$151=TRUE())*ISNUMBER(Fundamentals!$E$2:$E$151)*(Fundamentals!$E$2:$E$151&gt;0))))))))</f>
        <v>50</v>
      </c>
      <c r="D125" s="5" t="n">
        <f aca="false">AVERAGE(IF(NOT(ISNUMBER(Fundamentals!F125)),50,100*(SUMPRODUCT(($B$2:$B$151=TRUE())*ISNUMBER(Fundamentals!$F$2:$F$151)*(Fundamentals!$F$2:$F$151&lt;Fundamentals!F125))/MAX(1,SUMPRODUCT(($B$2:$B$151=TRUE())*ISNUMBER(Fundamentals!$F$2:$F$151))))),IF(NOT(ISNUMBER(Fundamentals!J125)),50,100*(SUMPRODUCT(($B$2:$B$151=TRUE())*ISNUMBER(Fundamentals!$J$2:$J$151)*(Fundamentals!$J$2:$J$151&lt;Fundamentals!J125))/MAX(1,SUMPRODUCT(($B$2:$B$151=TRUE())*ISNUMBER(Fundamentals!$J$2:$J$151))))))</f>
        <v>50</v>
      </c>
      <c r="E125" s="5" t="n">
        <f aca="false">AVERAGE(IF(NOT(ISNUMBER(Fundamentals!H125)),50,100*(SUMPRODUCT(($B$2:$B$151=TRUE())*ISNUMBER(Fundamentals!$H$2:$H$151)*(Fundamentals!$H$2:$H$151&lt;Fundamentals!H125))/MAX(1,SUMPRODUCT(($B$2:$B$151=TRUE())*ISNUMBER(Fundamentals!$H$2:$H$151))))),IF(NOT(ISNUMBER(Fundamentals!I125)),50,100*(SUMPRODUCT(($B$2:$B$151=TRUE())*ISNUMBER(Fundamentals!$I$2:$I$151)*(Fundamentals!$I$2:$I$151&lt;Fundamentals!I125))/MAX(1,SUMPRODUCT(($B$2:$B$151=TRUE())*ISNUMBER(Fundamentals!$I$2:$I$151))))))</f>
        <v>50</v>
      </c>
      <c r="F125" s="5" t="n">
        <f aca="false">IF(Tickers!C125="Financial Services",50,IF(NOT(ISNUMBER(Fundamentals!G125)),50,100*(1-(SUMPRODUCT(($B$2:$B$151=TRUE())*ISNUMBER(Fundamentals!$G$2:$G$151)*(Fundamentals!$G$2:$G$151&lt;Fundamentals!G125))/MAX(1,SUMPRODUCT(($B$2:$B$151=TRUE())*ISNUMBER(Fundamentals!$G$2:$G$151)))))))</f>
        <v>50</v>
      </c>
      <c r="G125" s="5" t="n">
        <f aca="false">AVERAGE(C125:F125)</f>
        <v>50</v>
      </c>
      <c r="H125" s="5" t="n">
        <f aca="false">MIN(100,MAX(0,IF(NOT(ISNUMBER(PriceMetrics!K125)),50,100*(SUMPRODUCT(($B$2:$B$151=TRUE())*ISNUMBER(PriceMetrics!$K$2:$K$151)*(PriceMetrics!$K$2:$K$151&lt;PriceMetrics!K125))/MAX(1,SUMPRODUCT(($B$2:$B$151=TRUE())*ISNUMBER(PriceMetrics!$K$2:$K$151)))))+IF(ISNUMBER(PriceMetrics!L125),10*PriceMetrics!L125,0)))</f>
        <v>50</v>
      </c>
      <c r="I125" s="5" t="n">
        <f aca="false">0.6*IF(NOT(ISNUMBER(PriceMetrics!P125)),50,100*(SUMPRODUCT(($B$2:$B$151=TRUE())*ISNUMBER(PriceMetrics!$P$2:$P$151)*(PriceMetrics!$P$2:$P$151&lt;PriceMetrics!P125))/MAX(1,SUMPRODUCT(($B$2:$B$151=TRUE())*ISNUMBER(PriceMetrics!$P$2:$P$151)))))+0.4*IF(NOT(ISNUMBER(PriceMetrics!H125)),50,IF(PriceMetrics!H125&gt;70,40,IF(PriceMetrics!H125&gt;=50,100,IF(PriceMetrics!H125&gt;=35,60,30))))</f>
        <v>50</v>
      </c>
      <c r="J125" s="5" t="n">
        <f aca="false">AVERAGE(IF(NOT(ISNUMBER(PriceMetrics!F125)),50,100*(1-(SUMPRODUCT(($B$2:$B$151=TRUE())*ISNUMBER(PriceMetrics!$F$2:$F$151)*(PriceMetrics!$F$2:$F$151&lt;PriceMetrics!F125))/MAX(1,SUMPRODUCT(($B$2:$B$151=TRUE())*ISNUMBER(PriceMetrics!$F$2:$F$151)))))),IF(NOT(ISNUMBER(PriceMetrics!G125)),50,100*(1-(SUMPRODUCT(($B$2:$B$151=TRUE())*ISNUMBER(PriceMetrics!$G$2:$G$151)*(ABS(PriceMetrics!$G$2:$G$151)&lt;ABS(PriceMetrics!G125)))/MAX(1,SUMPRODUCT(($B$2:$B$151=TRUE())*ISNUMBER(PriceMetrics!$G$2:$G$151)))))))</f>
        <v>50</v>
      </c>
      <c r="K125" s="5" t="n">
        <f aca="false">AVERAGE(H125:J125)</f>
        <v>50</v>
      </c>
      <c r="L125" s="8" t="n">
        <f aca="false">Macro!$B$26</f>
        <v>53.5</v>
      </c>
      <c r="M125" s="5" t="n">
        <f aca="false">Control!$B$3*100*G125/100+Control!$B$4*K125+Control!$B$5*L125</f>
        <v>50.7</v>
      </c>
      <c r="N125" s="3" t="n">
        <f aca="false">M125+ROW()/1000000</f>
        <v>50.700125</v>
      </c>
      <c r="O125" s="5" t="n">
        <f aca="false">M125-IF(AND(Tickers!D125="SMALLCAP100",Macro!$B$26&lt;40),Control!$B$11,0)</f>
        <v>50.7</v>
      </c>
      <c r="P125" s="3" t="str">
        <f aca="false">IF(B125=FALSE(),"-",IF(O125&gt;=Control!$B$7,"BUY",IF(O125&gt;=Control!$B$8,"ACCUMULATE",IF(O125&gt;=Control!$B$9,"HOLD","AVOID"))))</f>
        <v>-</v>
      </c>
      <c r="Q125" s="3" t="str">
        <f aca="false">IF(B125=FALSE(),"",IF(OR(O125&gt;=72,O125&lt;=32),"High",IF(OR(O125&gt;=62,O125&lt;=42),"Medium","Low")))</f>
        <v/>
      </c>
      <c r="R125" s="12" t="n">
        <f aca="false">IF(P125="BUY",Control!$B$12,IF(P125="ACCUMULATE",Control!$B$13,0))</f>
        <v>0</v>
      </c>
      <c r="S125" s="3" t="str">
        <f aca="false">IF(B125=FALSE(),"",IF(T125=C125,"Rich valuation",IF(T125=E125,"Weak growth",IF(T125=F125,"Balance-sheet leverage",IF(T125=I125,"Negative momentum","High volatility/drawdown")))))</f>
        <v/>
      </c>
      <c r="T125" s="3" t="n">
        <f aca="false">MIN(C125,E125,F125,I125,J125)</f>
        <v>50</v>
      </c>
      <c r="U125" s="3" t="n">
        <f aca="false">IF(B125=TRUE(),N125,-1000+ROW()/1000000)</f>
        <v>-999.999875</v>
      </c>
    </row>
    <row r="126" customFormat="false" ht="15" hidden="false" customHeight="false" outlineLevel="0" collapsed="false">
      <c r="A126" s="7" t="str">
        <f aca="false">Tickers!A126</f>
        <v>PWL</v>
      </c>
      <c r="B126" s="19" t="b">
        <f aca="false">Tickers!F126</f>
        <v>0</v>
      </c>
      <c r="C126" s="5" t="n">
        <f aca="false">AVERAGE(IF(NOT(ISNUMBER(Fundamentals!C126)),50,IF(Fundamentals!C126&lt;=0,15,100*(1-(SUMPRODUCT(($B$2:$B$151=TRUE())*ISNUMBER(Fundamentals!$C$2:$C$151)*(Fundamentals!$C$2:$C$151&gt;0)*(Fundamentals!$C$2:$C$151&lt;Fundamentals!C126))/MAX(1,SUMPRODUCT(($B$2:$B$151=TRUE())*ISNUMBER(Fundamentals!$C$2:$C$151)*(Fundamentals!$C$2:$C$151&gt;0))))))),IF(NOT(ISNUMBER(Fundamentals!E126)),50,IF(Fundamentals!E126&lt;=0,15,100*(1-(SUMPRODUCT(($B$2:$B$151=TRUE())*ISNUMBER(Fundamentals!$E$2:$E$151)*(Fundamentals!$E$2:$E$151&gt;0)*(Fundamentals!$E$2:$E$151&lt;Fundamentals!E126))/MAX(1,SUMPRODUCT(($B$2:$B$151=TRUE())*ISNUMBER(Fundamentals!$E$2:$E$151)*(Fundamentals!$E$2:$E$151&gt;0))))))))</f>
        <v>50</v>
      </c>
      <c r="D126" s="5" t="n">
        <f aca="false">AVERAGE(IF(NOT(ISNUMBER(Fundamentals!F126)),50,100*(SUMPRODUCT(($B$2:$B$151=TRUE())*ISNUMBER(Fundamentals!$F$2:$F$151)*(Fundamentals!$F$2:$F$151&lt;Fundamentals!F126))/MAX(1,SUMPRODUCT(($B$2:$B$151=TRUE())*ISNUMBER(Fundamentals!$F$2:$F$151))))),IF(NOT(ISNUMBER(Fundamentals!J126)),50,100*(SUMPRODUCT(($B$2:$B$151=TRUE())*ISNUMBER(Fundamentals!$J$2:$J$151)*(Fundamentals!$J$2:$J$151&lt;Fundamentals!J126))/MAX(1,SUMPRODUCT(($B$2:$B$151=TRUE())*ISNUMBER(Fundamentals!$J$2:$J$151))))))</f>
        <v>50</v>
      </c>
      <c r="E126" s="5" t="n">
        <f aca="false">AVERAGE(IF(NOT(ISNUMBER(Fundamentals!H126)),50,100*(SUMPRODUCT(($B$2:$B$151=TRUE())*ISNUMBER(Fundamentals!$H$2:$H$151)*(Fundamentals!$H$2:$H$151&lt;Fundamentals!H126))/MAX(1,SUMPRODUCT(($B$2:$B$151=TRUE())*ISNUMBER(Fundamentals!$H$2:$H$151))))),IF(NOT(ISNUMBER(Fundamentals!I126)),50,100*(SUMPRODUCT(($B$2:$B$151=TRUE())*ISNUMBER(Fundamentals!$I$2:$I$151)*(Fundamentals!$I$2:$I$151&lt;Fundamentals!I126))/MAX(1,SUMPRODUCT(($B$2:$B$151=TRUE())*ISNUMBER(Fundamentals!$I$2:$I$151))))))</f>
        <v>50</v>
      </c>
      <c r="F126" s="5" t="n">
        <f aca="false">IF(Tickers!C126="Financial Services",50,IF(NOT(ISNUMBER(Fundamentals!G126)),50,100*(1-(SUMPRODUCT(($B$2:$B$151=TRUE())*ISNUMBER(Fundamentals!$G$2:$G$151)*(Fundamentals!$G$2:$G$151&lt;Fundamentals!G126))/MAX(1,SUMPRODUCT(($B$2:$B$151=TRUE())*ISNUMBER(Fundamentals!$G$2:$G$151)))))))</f>
        <v>50</v>
      </c>
      <c r="G126" s="5" t="n">
        <f aca="false">AVERAGE(C126:F126)</f>
        <v>50</v>
      </c>
      <c r="H126" s="5" t="n">
        <f aca="false">MIN(100,MAX(0,IF(NOT(ISNUMBER(PriceMetrics!K126)),50,100*(SUMPRODUCT(($B$2:$B$151=TRUE())*ISNUMBER(PriceMetrics!$K$2:$K$151)*(PriceMetrics!$K$2:$K$151&lt;PriceMetrics!K126))/MAX(1,SUMPRODUCT(($B$2:$B$151=TRUE())*ISNUMBER(PriceMetrics!$K$2:$K$151)))))+IF(ISNUMBER(PriceMetrics!L126),10*PriceMetrics!L126,0)))</f>
        <v>50</v>
      </c>
      <c r="I126" s="5" t="n">
        <f aca="false">0.6*IF(NOT(ISNUMBER(PriceMetrics!P126)),50,100*(SUMPRODUCT(($B$2:$B$151=TRUE())*ISNUMBER(PriceMetrics!$P$2:$P$151)*(PriceMetrics!$P$2:$P$151&lt;PriceMetrics!P126))/MAX(1,SUMPRODUCT(($B$2:$B$151=TRUE())*ISNUMBER(PriceMetrics!$P$2:$P$151)))))+0.4*IF(NOT(ISNUMBER(PriceMetrics!H126)),50,IF(PriceMetrics!H126&gt;70,40,IF(PriceMetrics!H126&gt;=50,100,IF(PriceMetrics!H126&gt;=35,60,30))))</f>
        <v>50</v>
      </c>
      <c r="J126" s="5" t="n">
        <f aca="false">AVERAGE(IF(NOT(ISNUMBER(PriceMetrics!F126)),50,100*(1-(SUMPRODUCT(($B$2:$B$151=TRUE())*ISNUMBER(PriceMetrics!$F$2:$F$151)*(PriceMetrics!$F$2:$F$151&lt;PriceMetrics!F126))/MAX(1,SUMPRODUCT(($B$2:$B$151=TRUE())*ISNUMBER(PriceMetrics!$F$2:$F$151)))))),IF(NOT(ISNUMBER(PriceMetrics!G126)),50,100*(1-(SUMPRODUCT(($B$2:$B$151=TRUE())*ISNUMBER(PriceMetrics!$G$2:$G$151)*(ABS(PriceMetrics!$G$2:$G$151)&lt;ABS(PriceMetrics!G126)))/MAX(1,SUMPRODUCT(($B$2:$B$151=TRUE())*ISNUMBER(PriceMetrics!$G$2:$G$151)))))))</f>
        <v>50</v>
      </c>
      <c r="K126" s="5" t="n">
        <f aca="false">AVERAGE(H126:J126)</f>
        <v>50</v>
      </c>
      <c r="L126" s="8" t="n">
        <f aca="false">Macro!$B$26</f>
        <v>53.5</v>
      </c>
      <c r="M126" s="5" t="n">
        <f aca="false">Control!$B$3*100*G126/100+Control!$B$4*K126+Control!$B$5*L126</f>
        <v>50.7</v>
      </c>
      <c r="N126" s="3" t="n">
        <f aca="false">M126+ROW()/1000000</f>
        <v>50.700126</v>
      </c>
      <c r="O126" s="5" t="n">
        <f aca="false">M126-IF(AND(Tickers!D126="SMALLCAP100",Macro!$B$26&lt;40),Control!$B$11,0)</f>
        <v>50.7</v>
      </c>
      <c r="P126" s="3" t="str">
        <f aca="false">IF(B126=FALSE(),"-",IF(O126&gt;=Control!$B$7,"BUY",IF(O126&gt;=Control!$B$8,"ACCUMULATE",IF(O126&gt;=Control!$B$9,"HOLD","AVOID"))))</f>
        <v>-</v>
      </c>
      <c r="Q126" s="3" t="str">
        <f aca="false">IF(B126=FALSE(),"",IF(OR(O126&gt;=72,O126&lt;=32),"High",IF(OR(O126&gt;=62,O126&lt;=42),"Medium","Low")))</f>
        <v/>
      </c>
      <c r="R126" s="12" t="n">
        <f aca="false">IF(P126="BUY",Control!$B$12,IF(P126="ACCUMULATE",Control!$B$13,0))</f>
        <v>0</v>
      </c>
      <c r="S126" s="3" t="str">
        <f aca="false">IF(B126=FALSE(),"",IF(T126=C126,"Rich valuation",IF(T126=E126,"Weak growth",IF(T126=F126,"Balance-sheet leverage",IF(T126=I126,"Negative momentum","High volatility/drawdown")))))</f>
        <v/>
      </c>
      <c r="T126" s="3" t="n">
        <f aca="false">MIN(C126,E126,F126,I126,J126)</f>
        <v>50</v>
      </c>
      <c r="U126" s="3" t="n">
        <f aca="false">IF(B126=TRUE(),N126,-1000+ROW()/1000000)</f>
        <v>-999.999874</v>
      </c>
    </row>
    <row r="127" customFormat="false" ht="15" hidden="false" customHeight="false" outlineLevel="0" collapsed="false">
      <c r="A127" s="7" t="str">
        <f aca="false">Tickers!A127</f>
        <v>PINELABS</v>
      </c>
      <c r="B127" s="19" t="b">
        <f aca="false">Tickers!F127</f>
        <v>0</v>
      </c>
      <c r="C127" s="5" t="n">
        <f aca="false">AVERAGE(IF(NOT(ISNUMBER(Fundamentals!C127)),50,IF(Fundamentals!C127&lt;=0,15,100*(1-(SUMPRODUCT(($B$2:$B$151=TRUE())*ISNUMBER(Fundamentals!$C$2:$C$151)*(Fundamentals!$C$2:$C$151&gt;0)*(Fundamentals!$C$2:$C$151&lt;Fundamentals!C127))/MAX(1,SUMPRODUCT(($B$2:$B$151=TRUE())*ISNUMBER(Fundamentals!$C$2:$C$151)*(Fundamentals!$C$2:$C$151&gt;0))))))),IF(NOT(ISNUMBER(Fundamentals!E127)),50,IF(Fundamentals!E127&lt;=0,15,100*(1-(SUMPRODUCT(($B$2:$B$151=TRUE())*ISNUMBER(Fundamentals!$E$2:$E$151)*(Fundamentals!$E$2:$E$151&gt;0)*(Fundamentals!$E$2:$E$151&lt;Fundamentals!E127))/MAX(1,SUMPRODUCT(($B$2:$B$151=TRUE())*ISNUMBER(Fundamentals!$E$2:$E$151)*(Fundamentals!$E$2:$E$151&gt;0))))))))</f>
        <v>50</v>
      </c>
      <c r="D127" s="5" t="n">
        <f aca="false">AVERAGE(IF(NOT(ISNUMBER(Fundamentals!F127)),50,100*(SUMPRODUCT(($B$2:$B$151=TRUE())*ISNUMBER(Fundamentals!$F$2:$F$151)*(Fundamentals!$F$2:$F$151&lt;Fundamentals!F127))/MAX(1,SUMPRODUCT(($B$2:$B$151=TRUE())*ISNUMBER(Fundamentals!$F$2:$F$151))))),IF(NOT(ISNUMBER(Fundamentals!J127)),50,100*(SUMPRODUCT(($B$2:$B$151=TRUE())*ISNUMBER(Fundamentals!$J$2:$J$151)*(Fundamentals!$J$2:$J$151&lt;Fundamentals!J127))/MAX(1,SUMPRODUCT(($B$2:$B$151=TRUE())*ISNUMBER(Fundamentals!$J$2:$J$151))))))</f>
        <v>50</v>
      </c>
      <c r="E127" s="5" t="n">
        <f aca="false">AVERAGE(IF(NOT(ISNUMBER(Fundamentals!H127)),50,100*(SUMPRODUCT(($B$2:$B$151=TRUE())*ISNUMBER(Fundamentals!$H$2:$H$151)*(Fundamentals!$H$2:$H$151&lt;Fundamentals!H127))/MAX(1,SUMPRODUCT(($B$2:$B$151=TRUE())*ISNUMBER(Fundamentals!$H$2:$H$151))))),IF(NOT(ISNUMBER(Fundamentals!I127)),50,100*(SUMPRODUCT(($B$2:$B$151=TRUE())*ISNUMBER(Fundamentals!$I$2:$I$151)*(Fundamentals!$I$2:$I$151&lt;Fundamentals!I127))/MAX(1,SUMPRODUCT(($B$2:$B$151=TRUE())*ISNUMBER(Fundamentals!$I$2:$I$151))))))</f>
        <v>50</v>
      </c>
      <c r="F127" s="5" t="n">
        <f aca="false">IF(Tickers!C127="Financial Services",50,IF(NOT(ISNUMBER(Fundamentals!G127)),50,100*(1-(SUMPRODUCT(($B$2:$B$151=TRUE())*ISNUMBER(Fundamentals!$G$2:$G$151)*(Fundamentals!$G$2:$G$151&lt;Fundamentals!G127))/MAX(1,SUMPRODUCT(($B$2:$B$151=TRUE())*ISNUMBER(Fundamentals!$G$2:$G$151)))))))</f>
        <v>50</v>
      </c>
      <c r="G127" s="5" t="n">
        <f aca="false">AVERAGE(C127:F127)</f>
        <v>50</v>
      </c>
      <c r="H127" s="5" t="n">
        <f aca="false">MIN(100,MAX(0,IF(NOT(ISNUMBER(PriceMetrics!K127)),50,100*(SUMPRODUCT(($B$2:$B$151=TRUE())*ISNUMBER(PriceMetrics!$K$2:$K$151)*(PriceMetrics!$K$2:$K$151&lt;PriceMetrics!K127))/MAX(1,SUMPRODUCT(($B$2:$B$151=TRUE())*ISNUMBER(PriceMetrics!$K$2:$K$151)))))+IF(ISNUMBER(PriceMetrics!L127),10*PriceMetrics!L127,0)))</f>
        <v>50</v>
      </c>
      <c r="I127" s="5" t="n">
        <f aca="false">0.6*IF(NOT(ISNUMBER(PriceMetrics!P127)),50,100*(SUMPRODUCT(($B$2:$B$151=TRUE())*ISNUMBER(PriceMetrics!$P$2:$P$151)*(PriceMetrics!$P$2:$P$151&lt;PriceMetrics!P127))/MAX(1,SUMPRODUCT(($B$2:$B$151=TRUE())*ISNUMBER(PriceMetrics!$P$2:$P$151)))))+0.4*IF(NOT(ISNUMBER(PriceMetrics!H127)),50,IF(PriceMetrics!H127&gt;70,40,IF(PriceMetrics!H127&gt;=50,100,IF(PriceMetrics!H127&gt;=35,60,30))))</f>
        <v>50</v>
      </c>
      <c r="J127" s="5" t="n">
        <f aca="false">AVERAGE(IF(NOT(ISNUMBER(PriceMetrics!F127)),50,100*(1-(SUMPRODUCT(($B$2:$B$151=TRUE())*ISNUMBER(PriceMetrics!$F$2:$F$151)*(PriceMetrics!$F$2:$F$151&lt;PriceMetrics!F127))/MAX(1,SUMPRODUCT(($B$2:$B$151=TRUE())*ISNUMBER(PriceMetrics!$F$2:$F$151)))))),IF(NOT(ISNUMBER(PriceMetrics!G127)),50,100*(1-(SUMPRODUCT(($B$2:$B$151=TRUE())*ISNUMBER(PriceMetrics!$G$2:$G$151)*(ABS(PriceMetrics!$G$2:$G$151)&lt;ABS(PriceMetrics!G127)))/MAX(1,SUMPRODUCT(($B$2:$B$151=TRUE())*ISNUMBER(PriceMetrics!$G$2:$G$151)))))))</f>
        <v>50</v>
      </c>
      <c r="K127" s="5" t="n">
        <f aca="false">AVERAGE(H127:J127)</f>
        <v>50</v>
      </c>
      <c r="L127" s="8" t="n">
        <f aca="false">Macro!$B$26</f>
        <v>53.5</v>
      </c>
      <c r="M127" s="5" t="n">
        <f aca="false">Control!$B$3*100*G127/100+Control!$B$4*K127+Control!$B$5*L127</f>
        <v>50.7</v>
      </c>
      <c r="N127" s="3" t="n">
        <f aca="false">M127+ROW()/1000000</f>
        <v>50.700127</v>
      </c>
      <c r="O127" s="5" t="n">
        <f aca="false">M127-IF(AND(Tickers!D127="SMALLCAP100",Macro!$B$26&lt;40),Control!$B$11,0)</f>
        <v>50.7</v>
      </c>
      <c r="P127" s="3" t="str">
        <f aca="false">IF(B127=FALSE(),"-",IF(O127&gt;=Control!$B$7,"BUY",IF(O127&gt;=Control!$B$8,"ACCUMULATE",IF(O127&gt;=Control!$B$9,"HOLD","AVOID"))))</f>
        <v>-</v>
      </c>
      <c r="Q127" s="3" t="str">
        <f aca="false">IF(B127=FALSE(),"",IF(OR(O127&gt;=72,O127&lt;=32),"High",IF(OR(O127&gt;=62,O127&lt;=42),"Medium","Low")))</f>
        <v/>
      </c>
      <c r="R127" s="12" t="n">
        <f aca="false">IF(P127="BUY",Control!$B$12,IF(P127="ACCUMULATE",Control!$B$13,0))</f>
        <v>0</v>
      </c>
      <c r="S127" s="3" t="str">
        <f aca="false">IF(B127=FALSE(),"",IF(T127=C127,"Rich valuation",IF(T127=E127,"Weak growth",IF(T127=F127,"Balance-sheet leverage",IF(T127=I127,"Negative momentum","High volatility/drawdown")))))</f>
        <v/>
      </c>
      <c r="T127" s="3" t="n">
        <f aca="false">MIN(C127,E127,F127,I127,J127)</f>
        <v>50</v>
      </c>
      <c r="U127" s="3" t="n">
        <f aca="false">IF(B127=TRUE(),N127,-1000+ROW()/1000000)</f>
        <v>-999.999873</v>
      </c>
    </row>
    <row r="128" customFormat="false" ht="15" hidden="false" customHeight="false" outlineLevel="0" collapsed="false">
      <c r="A128" s="7" t="str">
        <f aca="false">Tickers!A128</f>
        <v>PIRAMALFIN</v>
      </c>
      <c r="B128" s="19" t="b">
        <f aca="false">Tickers!F128</f>
        <v>0</v>
      </c>
      <c r="C128" s="5" t="n">
        <f aca="false">AVERAGE(IF(NOT(ISNUMBER(Fundamentals!C128)),50,IF(Fundamentals!C128&lt;=0,15,100*(1-(SUMPRODUCT(($B$2:$B$151=TRUE())*ISNUMBER(Fundamentals!$C$2:$C$151)*(Fundamentals!$C$2:$C$151&gt;0)*(Fundamentals!$C$2:$C$151&lt;Fundamentals!C128))/MAX(1,SUMPRODUCT(($B$2:$B$151=TRUE())*ISNUMBER(Fundamentals!$C$2:$C$151)*(Fundamentals!$C$2:$C$151&gt;0))))))),IF(NOT(ISNUMBER(Fundamentals!E128)),50,IF(Fundamentals!E128&lt;=0,15,100*(1-(SUMPRODUCT(($B$2:$B$151=TRUE())*ISNUMBER(Fundamentals!$E$2:$E$151)*(Fundamentals!$E$2:$E$151&gt;0)*(Fundamentals!$E$2:$E$151&lt;Fundamentals!E128))/MAX(1,SUMPRODUCT(($B$2:$B$151=TRUE())*ISNUMBER(Fundamentals!$E$2:$E$151)*(Fundamentals!$E$2:$E$151&gt;0))))))))</f>
        <v>50</v>
      </c>
      <c r="D128" s="5" t="n">
        <f aca="false">AVERAGE(IF(NOT(ISNUMBER(Fundamentals!F128)),50,100*(SUMPRODUCT(($B$2:$B$151=TRUE())*ISNUMBER(Fundamentals!$F$2:$F$151)*(Fundamentals!$F$2:$F$151&lt;Fundamentals!F128))/MAX(1,SUMPRODUCT(($B$2:$B$151=TRUE())*ISNUMBER(Fundamentals!$F$2:$F$151))))),IF(NOT(ISNUMBER(Fundamentals!J128)),50,100*(SUMPRODUCT(($B$2:$B$151=TRUE())*ISNUMBER(Fundamentals!$J$2:$J$151)*(Fundamentals!$J$2:$J$151&lt;Fundamentals!J128))/MAX(1,SUMPRODUCT(($B$2:$B$151=TRUE())*ISNUMBER(Fundamentals!$J$2:$J$151))))))</f>
        <v>50</v>
      </c>
      <c r="E128" s="5" t="n">
        <f aca="false">AVERAGE(IF(NOT(ISNUMBER(Fundamentals!H128)),50,100*(SUMPRODUCT(($B$2:$B$151=TRUE())*ISNUMBER(Fundamentals!$H$2:$H$151)*(Fundamentals!$H$2:$H$151&lt;Fundamentals!H128))/MAX(1,SUMPRODUCT(($B$2:$B$151=TRUE())*ISNUMBER(Fundamentals!$H$2:$H$151))))),IF(NOT(ISNUMBER(Fundamentals!I128)),50,100*(SUMPRODUCT(($B$2:$B$151=TRUE())*ISNUMBER(Fundamentals!$I$2:$I$151)*(Fundamentals!$I$2:$I$151&lt;Fundamentals!I128))/MAX(1,SUMPRODUCT(($B$2:$B$151=TRUE())*ISNUMBER(Fundamentals!$I$2:$I$151))))))</f>
        <v>50</v>
      </c>
      <c r="F128" s="5" t="n">
        <f aca="false">IF(Tickers!C128="Financial Services",50,IF(NOT(ISNUMBER(Fundamentals!G128)),50,100*(1-(SUMPRODUCT(($B$2:$B$151=TRUE())*ISNUMBER(Fundamentals!$G$2:$G$151)*(Fundamentals!$G$2:$G$151&lt;Fundamentals!G128))/MAX(1,SUMPRODUCT(($B$2:$B$151=TRUE())*ISNUMBER(Fundamentals!$G$2:$G$151)))))))</f>
        <v>50</v>
      </c>
      <c r="G128" s="5" t="n">
        <f aca="false">AVERAGE(C128:F128)</f>
        <v>50</v>
      </c>
      <c r="H128" s="5" t="n">
        <f aca="false">MIN(100,MAX(0,IF(NOT(ISNUMBER(PriceMetrics!K128)),50,100*(SUMPRODUCT(($B$2:$B$151=TRUE())*ISNUMBER(PriceMetrics!$K$2:$K$151)*(PriceMetrics!$K$2:$K$151&lt;PriceMetrics!K128))/MAX(1,SUMPRODUCT(($B$2:$B$151=TRUE())*ISNUMBER(PriceMetrics!$K$2:$K$151)))))+IF(ISNUMBER(PriceMetrics!L128),10*PriceMetrics!L128,0)))</f>
        <v>50</v>
      </c>
      <c r="I128" s="5" t="n">
        <f aca="false">0.6*IF(NOT(ISNUMBER(PriceMetrics!P128)),50,100*(SUMPRODUCT(($B$2:$B$151=TRUE())*ISNUMBER(PriceMetrics!$P$2:$P$151)*(PriceMetrics!$P$2:$P$151&lt;PriceMetrics!P128))/MAX(1,SUMPRODUCT(($B$2:$B$151=TRUE())*ISNUMBER(PriceMetrics!$P$2:$P$151)))))+0.4*IF(NOT(ISNUMBER(PriceMetrics!H128)),50,IF(PriceMetrics!H128&gt;70,40,IF(PriceMetrics!H128&gt;=50,100,IF(PriceMetrics!H128&gt;=35,60,30))))</f>
        <v>50</v>
      </c>
      <c r="J128" s="5" t="n">
        <f aca="false">AVERAGE(IF(NOT(ISNUMBER(PriceMetrics!F128)),50,100*(1-(SUMPRODUCT(($B$2:$B$151=TRUE())*ISNUMBER(PriceMetrics!$F$2:$F$151)*(PriceMetrics!$F$2:$F$151&lt;PriceMetrics!F128))/MAX(1,SUMPRODUCT(($B$2:$B$151=TRUE())*ISNUMBER(PriceMetrics!$F$2:$F$151)))))),IF(NOT(ISNUMBER(PriceMetrics!G128)),50,100*(1-(SUMPRODUCT(($B$2:$B$151=TRUE())*ISNUMBER(PriceMetrics!$G$2:$G$151)*(ABS(PriceMetrics!$G$2:$G$151)&lt;ABS(PriceMetrics!G128)))/MAX(1,SUMPRODUCT(($B$2:$B$151=TRUE())*ISNUMBER(PriceMetrics!$G$2:$G$151)))))))</f>
        <v>50</v>
      </c>
      <c r="K128" s="5" t="n">
        <f aca="false">AVERAGE(H128:J128)</f>
        <v>50</v>
      </c>
      <c r="L128" s="8" t="n">
        <f aca="false">Macro!$B$26</f>
        <v>53.5</v>
      </c>
      <c r="M128" s="5" t="n">
        <f aca="false">Control!$B$3*100*G128/100+Control!$B$4*K128+Control!$B$5*L128</f>
        <v>50.7</v>
      </c>
      <c r="N128" s="3" t="n">
        <f aca="false">M128+ROW()/1000000</f>
        <v>50.700128</v>
      </c>
      <c r="O128" s="5" t="n">
        <f aca="false">M128-IF(AND(Tickers!D128="SMALLCAP100",Macro!$B$26&lt;40),Control!$B$11,0)</f>
        <v>50.7</v>
      </c>
      <c r="P128" s="3" t="str">
        <f aca="false">IF(B128=FALSE(),"-",IF(O128&gt;=Control!$B$7,"BUY",IF(O128&gt;=Control!$B$8,"ACCUMULATE",IF(O128&gt;=Control!$B$9,"HOLD","AVOID"))))</f>
        <v>-</v>
      </c>
      <c r="Q128" s="3" t="str">
        <f aca="false">IF(B128=FALSE(),"",IF(OR(O128&gt;=72,O128&lt;=32),"High",IF(OR(O128&gt;=62,O128&lt;=42),"Medium","Low")))</f>
        <v/>
      </c>
      <c r="R128" s="12" t="n">
        <f aca="false">IF(P128="BUY",Control!$B$12,IF(P128="ACCUMULATE",Control!$B$13,0))</f>
        <v>0</v>
      </c>
      <c r="S128" s="3" t="str">
        <f aca="false">IF(B128=FALSE(),"",IF(T128=C128,"Rich valuation",IF(T128=E128,"Weak growth",IF(T128=F128,"Balance-sheet leverage",IF(T128=I128,"Negative momentum","High volatility/drawdown")))))</f>
        <v/>
      </c>
      <c r="T128" s="3" t="n">
        <f aca="false">MIN(C128,E128,F128,I128,J128)</f>
        <v>50</v>
      </c>
      <c r="U128" s="3" t="n">
        <f aca="false">IF(B128=TRUE(),N128,-1000+ROW()/1000000)</f>
        <v>-999.999872</v>
      </c>
    </row>
    <row r="129" customFormat="false" ht="15" hidden="false" customHeight="false" outlineLevel="0" collapsed="false">
      <c r="A129" s="7" t="str">
        <f aca="false">Tickers!A129</f>
        <v>PPLPHARMA</v>
      </c>
      <c r="B129" s="19" t="b">
        <f aca="false">Tickers!F129</f>
        <v>0</v>
      </c>
      <c r="C129" s="5" t="n">
        <f aca="false">AVERAGE(IF(NOT(ISNUMBER(Fundamentals!C129)),50,IF(Fundamentals!C129&lt;=0,15,100*(1-(SUMPRODUCT(($B$2:$B$151=TRUE())*ISNUMBER(Fundamentals!$C$2:$C$151)*(Fundamentals!$C$2:$C$151&gt;0)*(Fundamentals!$C$2:$C$151&lt;Fundamentals!C129))/MAX(1,SUMPRODUCT(($B$2:$B$151=TRUE())*ISNUMBER(Fundamentals!$C$2:$C$151)*(Fundamentals!$C$2:$C$151&gt;0))))))),IF(NOT(ISNUMBER(Fundamentals!E129)),50,IF(Fundamentals!E129&lt;=0,15,100*(1-(SUMPRODUCT(($B$2:$B$151=TRUE())*ISNUMBER(Fundamentals!$E$2:$E$151)*(Fundamentals!$E$2:$E$151&gt;0)*(Fundamentals!$E$2:$E$151&lt;Fundamentals!E129))/MAX(1,SUMPRODUCT(($B$2:$B$151=TRUE())*ISNUMBER(Fundamentals!$E$2:$E$151)*(Fundamentals!$E$2:$E$151&gt;0))))))))</f>
        <v>50</v>
      </c>
      <c r="D129" s="5" t="n">
        <f aca="false">AVERAGE(IF(NOT(ISNUMBER(Fundamentals!F129)),50,100*(SUMPRODUCT(($B$2:$B$151=TRUE())*ISNUMBER(Fundamentals!$F$2:$F$151)*(Fundamentals!$F$2:$F$151&lt;Fundamentals!F129))/MAX(1,SUMPRODUCT(($B$2:$B$151=TRUE())*ISNUMBER(Fundamentals!$F$2:$F$151))))),IF(NOT(ISNUMBER(Fundamentals!J129)),50,100*(SUMPRODUCT(($B$2:$B$151=TRUE())*ISNUMBER(Fundamentals!$J$2:$J$151)*(Fundamentals!$J$2:$J$151&lt;Fundamentals!J129))/MAX(1,SUMPRODUCT(($B$2:$B$151=TRUE())*ISNUMBER(Fundamentals!$J$2:$J$151))))))</f>
        <v>50</v>
      </c>
      <c r="E129" s="5" t="n">
        <f aca="false">AVERAGE(IF(NOT(ISNUMBER(Fundamentals!H129)),50,100*(SUMPRODUCT(($B$2:$B$151=TRUE())*ISNUMBER(Fundamentals!$H$2:$H$151)*(Fundamentals!$H$2:$H$151&lt;Fundamentals!H129))/MAX(1,SUMPRODUCT(($B$2:$B$151=TRUE())*ISNUMBER(Fundamentals!$H$2:$H$151))))),IF(NOT(ISNUMBER(Fundamentals!I129)),50,100*(SUMPRODUCT(($B$2:$B$151=TRUE())*ISNUMBER(Fundamentals!$I$2:$I$151)*(Fundamentals!$I$2:$I$151&lt;Fundamentals!I129))/MAX(1,SUMPRODUCT(($B$2:$B$151=TRUE())*ISNUMBER(Fundamentals!$I$2:$I$151))))))</f>
        <v>50</v>
      </c>
      <c r="F129" s="5" t="n">
        <f aca="false">IF(Tickers!C129="Financial Services",50,IF(NOT(ISNUMBER(Fundamentals!G129)),50,100*(1-(SUMPRODUCT(($B$2:$B$151=TRUE())*ISNUMBER(Fundamentals!$G$2:$G$151)*(Fundamentals!$G$2:$G$151&lt;Fundamentals!G129))/MAX(1,SUMPRODUCT(($B$2:$B$151=TRUE())*ISNUMBER(Fundamentals!$G$2:$G$151)))))))</f>
        <v>50</v>
      </c>
      <c r="G129" s="5" t="n">
        <f aca="false">AVERAGE(C129:F129)</f>
        <v>50</v>
      </c>
      <c r="H129" s="5" t="n">
        <f aca="false">MIN(100,MAX(0,IF(NOT(ISNUMBER(PriceMetrics!K129)),50,100*(SUMPRODUCT(($B$2:$B$151=TRUE())*ISNUMBER(PriceMetrics!$K$2:$K$151)*(PriceMetrics!$K$2:$K$151&lt;PriceMetrics!K129))/MAX(1,SUMPRODUCT(($B$2:$B$151=TRUE())*ISNUMBER(PriceMetrics!$K$2:$K$151)))))+IF(ISNUMBER(PriceMetrics!L129),10*PriceMetrics!L129,0)))</f>
        <v>50</v>
      </c>
      <c r="I129" s="5" t="n">
        <f aca="false">0.6*IF(NOT(ISNUMBER(PriceMetrics!P129)),50,100*(SUMPRODUCT(($B$2:$B$151=TRUE())*ISNUMBER(PriceMetrics!$P$2:$P$151)*(PriceMetrics!$P$2:$P$151&lt;PriceMetrics!P129))/MAX(1,SUMPRODUCT(($B$2:$B$151=TRUE())*ISNUMBER(PriceMetrics!$P$2:$P$151)))))+0.4*IF(NOT(ISNUMBER(PriceMetrics!H129)),50,IF(PriceMetrics!H129&gt;70,40,IF(PriceMetrics!H129&gt;=50,100,IF(PriceMetrics!H129&gt;=35,60,30))))</f>
        <v>50</v>
      </c>
      <c r="J129" s="5" t="n">
        <f aca="false">AVERAGE(IF(NOT(ISNUMBER(PriceMetrics!F129)),50,100*(1-(SUMPRODUCT(($B$2:$B$151=TRUE())*ISNUMBER(PriceMetrics!$F$2:$F$151)*(PriceMetrics!$F$2:$F$151&lt;PriceMetrics!F129))/MAX(1,SUMPRODUCT(($B$2:$B$151=TRUE())*ISNUMBER(PriceMetrics!$F$2:$F$151)))))),IF(NOT(ISNUMBER(PriceMetrics!G129)),50,100*(1-(SUMPRODUCT(($B$2:$B$151=TRUE())*ISNUMBER(PriceMetrics!$G$2:$G$151)*(ABS(PriceMetrics!$G$2:$G$151)&lt;ABS(PriceMetrics!G129)))/MAX(1,SUMPRODUCT(($B$2:$B$151=TRUE())*ISNUMBER(PriceMetrics!$G$2:$G$151)))))))</f>
        <v>50</v>
      </c>
      <c r="K129" s="5" t="n">
        <f aca="false">AVERAGE(H129:J129)</f>
        <v>50</v>
      </c>
      <c r="L129" s="8" t="n">
        <f aca="false">Macro!$B$26</f>
        <v>53.5</v>
      </c>
      <c r="M129" s="5" t="n">
        <f aca="false">Control!$B$3*100*G129/100+Control!$B$4*K129+Control!$B$5*L129</f>
        <v>50.7</v>
      </c>
      <c r="N129" s="3" t="n">
        <f aca="false">M129+ROW()/1000000</f>
        <v>50.700129</v>
      </c>
      <c r="O129" s="5" t="n">
        <f aca="false">M129-IF(AND(Tickers!D129="SMALLCAP100",Macro!$B$26&lt;40),Control!$B$11,0)</f>
        <v>50.7</v>
      </c>
      <c r="P129" s="3" t="str">
        <f aca="false">IF(B129=FALSE(),"-",IF(O129&gt;=Control!$B$7,"BUY",IF(O129&gt;=Control!$B$8,"ACCUMULATE",IF(O129&gt;=Control!$B$9,"HOLD","AVOID"))))</f>
        <v>-</v>
      </c>
      <c r="Q129" s="3" t="str">
        <f aca="false">IF(B129=FALSE(),"",IF(OR(O129&gt;=72,O129&lt;=32),"High",IF(OR(O129&gt;=62,O129&lt;=42),"Medium","Low")))</f>
        <v/>
      </c>
      <c r="R129" s="12" t="n">
        <f aca="false">IF(P129="BUY",Control!$B$12,IF(P129="ACCUMULATE",Control!$B$13,0))</f>
        <v>0</v>
      </c>
      <c r="S129" s="3" t="str">
        <f aca="false">IF(B129=FALSE(),"",IF(T129=C129,"Rich valuation",IF(T129=E129,"Weak growth",IF(T129=F129,"Balance-sheet leverage",IF(T129=I129,"Negative momentum","High volatility/drawdown")))))</f>
        <v/>
      </c>
      <c r="T129" s="3" t="n">
        <f aca="false">MIN(C129,E129,F129,I129,J129)</f>
        <v>50</v>
      </c>
      <c r="U129" s="3" t="n">
        <f aca="false">IF(B129=TRUE(),N129,-1000+ROW()/1000000)</f>
        <v>-999.999871</v>
      </c>
    </row>
    <row r="130" customFormat="false" ht="15" hidden="false" customHeight="false" outlineLevel="0" collapsed="false">
      <c r="A130" s="7" t="str">
        <f aca="false">Tickers!A130</f>
        <v>POONAWALLA</v>
      </c>
      <c r="B130" s="19" t="b">
        <f aca="false">Tickers!F130</f>
        <v>0</v>
      </c>
      <c r="C130" s="5" t="n">
        <f aca="false">AVERAGE(IF(NOT(ISNUMBER(Fundamentals!C130)),50,IF(Fundamentals!C130&lt;=0,15,100*(1-(SUMPRODUCT(($B$2:$B$151=TRUE())*ISNUMBER(Fundamentals!$C$2:$C$151)*(Fundamentals!$C$2:$C$151&gt;0)*(Fundamentals!$C$2:$C$151&lt;Fundamentals!C130))/MAX(1,SUMPRODUCT(($B$2:$B$151=TRUE())*ISNUMBER(Fundamentals!$C$2:$C$151)*(Fundamentals!$C$2:$C$151&gt;0))))))),IF(NOT(ISNUMBER(Fundamentals!E130)),50,IF(Fundamentals!E130&lt;=0,15,100*(1-(SUMPRODUCT(($B$2:$B$151=TRUE())*ISNUMBER(Fundamentals!$E$2:$E$151)*(Fundamentals!$E$2:$E$151&gt;0)*(Fundamentals!$E$2:$E$151&lt;Fundamentals!E130))/MAX(1,SUMPRODUCT(($B$2:$B$151=TRUE())*ISNUMBER(Fundamentals!$E$2:$E$151)*(Fundamentals!$E$2:$E$151&gt;0))))))))</f>
        <v>50</v>
      </c>
      <c r="D130" s="5" t="n">
        <f aca="false">AVERAGE(IF(NOT(ISNUMBER(Fundamentals!F130)),50,100*(SUMPRODUCT(($B$2:$B$151=TRUE())*ISNUMBER(Fundamentals!$F$2:$F$151)*(Fundamentals!$F$2:$F$151&lt;Fundamentals!F130))/MAX(1,SUMPRODUCT(($B$2:$B$151=TRUE())*ISNUMBER(Fundamentals!$F$2:$F$151))))),IF(NOT(ISNUMBER(Fundamentals!J130)),50,100*(SUMPRODUCT(($B$2:$B$151=TRUE())*ISNUMBER(Fundamentals!$J$2:$J$151)*(Fundamentals!$J$2:$J$151&lt;Fundamentals!J130))/MAX(1,SUMPRODUCT(($B$2:$B$151=TRUE())*ISNUMBER(Fundamentals!$J$2:$J$151))))))</f>
        <v>50</v>
      </c>
      <c r="E130" s="5" t="n">
        <f aca="false">AVERAGE(IF(NOT(ISNUMBER(Fundamentals!H130)),50,100*(SUMPRODUCT(($B$2:$B$151=TRUE())*ISNUMBER(Fundamentals!$H$2:$H$151)*(Fundamentals!$H$2:$H$151&lt;Fundamentals!H130))/MAX(1,SUMPRODUCT(($B$2:$B$151=TRUE())*ISNUMBER(Fundamentals!$H$2:$H$151))))),IF(NOT(ISNUMBER(Fundamentals!I130)),50,100*(SUMPRODUCT(($B$2:$B$151=TRUE())*ISNUMBER(Fundamentals!$I$2:$I$151)*(Fundamentals!$I$2:$I$151&lt;Fundamentals!I130))/MAX(1,SUMPRODUCT(($B$2:$B$151=TRUE())*ISNUMBER(Fundamentals!$I$2:$I$151))))))</f>
        <v>50</v>
      </c>
      <c r="F130" s="5" t="n">
        <f aca="false">IF(Tickers!C130="Financial Services",50,IF(NOT(ISNUMBER(Fundamentals!G130)),50,100*(1-(SUMPRODUCT(($B$2:$B$151=TRUE())*ISNUMBER(Fundamentals!$G$2:$G$151)*(Fundamentals!$G$2:$G$151&lt;Fundamentals!G130))/MAX(1,SUMPRODUCT(($B$2:$B$151=TRUE())*ISNUMBER(Fundamentals!$G$2:$G$151)))))))</f>
        <v>50</v>
      </c>
      <c r="G130" s="5" t="n">
        <f aca="false">AVERAGE(C130:F130)</f>
        <v>50</v>
      </c>
      <c r="H130" s="5" t="n">
        <f aca="false">MIN(100,MAX(0,IF(NOT(ISNUMBER(PriceMetrics!K130)),50,100*(SUMPRODUCT(($B$2:$B$151=TRUE())*ISNUMBER(PriceMetrics!$K$2:$K$151)*(PriceMetrics!$K$2:$K$151&lt;PriceMetrics!K130))/MAX(1,SUMPRODUCT(($B$2:$B$151=TRUE())*ISNUMBER(PriceMetrics!$K$2:$K$151)))))+IF(ISNUMBER(PriceMetrics!L130),10*PriceMetrics!L130,0)))</f>
        <v>50</v>
      </c>
      <c r="I130" s="5" t="n">
        <f aca="false">0.6*IF(NOT(ISNUMBER(PriceMetrics!P130)),50,100*(SUMPRODUCT(($B$2:$B$151=TRUE())*ISNUMBER(PriceMetrics!$P$2:$P$151)*(PriceMetrics!$P$2:$P$151&lt;PriceMetrics!P130))/MAX(1,SUMPRODUCT(($B$2:$B$151=TRUE())*ISNUMBER(PriceMetrics!$P$2:$P$151)))))+0.4*IF(NOT(ISNUMBER(PriceMetrics!H130)),50,IF(PriceMetrics!H130&gt;70,40,IF(PriceMetrics!H130&gt;=50,100,IF(PriceMetrics!H130&gt;=35,60,30))))</f>
        <v>50</v>
      </c>
      <c r="J130" s="5" t="n">
        <f aca="false">AVERAGE(IF(NOT(ISNUMBER(PriceMetrics!F130)),50,100*(1-(SUMPRODUCT(($B$2:$B$151=TRUE())*ISNUMBER(PriceMetrics!$F$2:$F$151)*(PriceMetrics!$F$2:$F$151&lt;PriceMetrics!F130))/MAX(1,SUMPRODUCT(($B$2:$B$151=TRUE())*ISNUMBER(PriceMetrics!$F$2:$F$151)))))),IF(NOT(ISNUMBER(PriceMetrics!G130)),50,100*(1-(SUMPRODUCT(($B$2:$B$151=TRUE())*ISNUMBER(PriceMetrics!$G$2:$G$151)*(ABS(PriceMetrics!$G$2:$G$151)&lt;ABS(PriceMetrics!G130)))/MAX(1,SUMPRODUCT(($B$2:$B$151=TRUE())*ISNUMBER(PriceMetrics!$G$2:$G$151)))))))</f>
        <v>50</v>
      </c>
      <c r="K130" s="5" t="n">
        <f aca="false">AVERAGE(H130:J130)</f>
        <v>50</v>
      </c>
      <c r="L130" s="8" t="n">
        <f aca="false">Macro!$B$26</f>
        <v>53.5</v>
      </c>
      <c r="M130" s="5" t="n">
        <f aca="false">Control!$B$3*100*G130/100+Control!$B$4*K130+Control!$B$5*L130</f>
        <v>50.7</v>
      </c>
      <c r="N130" s="3" t="n">
        <f aca="false">M130+ROW()/1000000</f>
        <v>50.70013</v>
      </c>
      <c r="O130" s="5" t="n">
        <f aca="false">M130-IF(AND(Tickers!D130="SMALLCAP100",Macro!$B$26&lt;40),Control!$B$11,0)</f>
        <v>50.7</v>
      </c>
      <c r="P130" s="3" t="str">
        <f aca="false">IF(B130=FALSE(),"-",IF(O130&gt;=Control!$B$7,"BUY",IF(O130&gt;=Control!$B$8,"ACCUMULATE",IF(O130&gt;=Control!$B$9,"HOLD","AVOID"))))</f>
        <v>-</v>
      </c>
      <c r="Q130" s="3" t="str">
        <f aca="false">IF(B130=FALSE(),"",IF(OR(O130&gt;=72,O130&lt;=32),"High",IF(OR(O130&gt;=62,O130&lt;=42),"Medium","Low")))</f>
        <v/>
      </c>
      <c r="R130" s="12" t="n">
        <f aca="false">IF(P130="BUY",Control!$B$12,IF(P130="ACCUMULATE",Control!$B$13,0))</f>
        <v>0</v>
      </c>
      <c r="S130" s="3" t="str">
        <f aca="false">IF(B130=FALSE(),"",IF(T130=C130,"Rich valuation",IF(T130=E130,"Weak growth",IF(T130=F130,"Balance-sheet leverage",IF(T130=I130,"Negative momentum","High volatility/drawdown")))))</f>
        <v/>
      </c>
      <c r="T130" s="3" t="n">
        <f aca="false">MIN(C130,E130,F130,I130,J130)</f>
        <v>50</v>
      </c>
      <c r="U130" s="3" t="n">
        <f aca="false">IF(B130=TRUE(),N130,-1000+ROW()/1000000)</f>
        <v>-999.99987</v>
      </c>
    </row>
    <row r="131" customFormat="false" ht="15" hidden="false" customHeight="false" outlineLevel="0" collapsed="false">
      <c r="A131" s="7" t="str">
        <f aca="false">Tickers!A131</f>
        <v>RBLBANK</v>
      </c>
      <c r="B131" s="19" t="b">
        <f aca="false">Tickers!F131</f>
        <v>0</v>
      </c>
      <c r="C131" s="5" t="n">
        <f aca="false">AVERAGE(IF(NOT(ISNUMBER(Fundamentals!C131)),50,IF(Fundamentals!C131&lt;=0,15,100*(1-(SUMPRODUCT(($B$2:$B$151=TRUE())*ISNUMBER(Fundamentals!$C$2:$C$151)*(Fundamentals!$C$2:$C$151&gt;0)*(Fundamentals!$C$2:$C$151&lt;Fundamentals!C131))/MAX(1,SUMPRODUCT(($B$2:$B$151=TRUE())*ISNUMBER(Fundamentals!$C$2:$C$151)*(Fundamentals!$C$2:$C$151&gt;0))))))),IF(NOT(ISNUMBER(Fundamentals!E131)),50,IF(Fundamentals!E131&lt;=0,15,100*(1-(SUMPRODUCT(($B$2:$B$151=TRUE())*ISNUMBER(Fundamentals!$E$2:$E$151)*(Fundamentals!$E$2:$E$151&gt;0)*(Fundamentals!$E$2:$E$151&lt;Fundamentals!E131))/MAX(1,SUMPRODUCT(($B$2:$B$151=TRUE())*ISNUMBER(Fundamentals!$E$2:$E$151)*(Fundamentals!$E$2:$E$151&gt;0))))))))</f>
        <v>50</v>
      </c>
      <c r="D131" s="5" t="n">
        <f aca="false">AVERAGE(IF(NOT(ISNUMBER(Fundamentals!F131)),50,100*(SUMPRODUCT(($B$2:$B$151=TRUE())*ISNUMBER(Fundamentals!$F$2:$F$151)*(Fundamentals!$F$2:$F$151&lt;Fundamentals!F131))/MAX(1,SUMPRODUCT(($B$2:$B$151=TRUE())*ISNUMBER(Fundamentals!$F$2:$F$151))))),IF(NOT(ISNUMBER(Fundamentals!J131)),50,100*(SUMPRODUCT(($B$2:$B$151=TRUE())*ISNUMBER(Fundamentals!$J$2:$J$151)*(Fundamentals!$J$2:$J$151&lt;Fundamentals!J131))/MAX(1,SUMPRODUCT(($B$2:$B$151=TRUE())*ISNUMBER(Fundamentals!$J$2:$J$151))))))</f>
        <v>50</v>
      </c>
      <c r="E131" s="5" t="n">
        <f aca="false">AVERAGE(IF(NOT(ISNUMBER(Fundamentals!H131)),50,100*(SUMPRODUCT(($B$2:$B$151=TRUE())*ISNUMBER(Fundamentals!$H$2:$H$151)*(Fundamentals!$H$2:$H$151&lt;Fundamentals!H131))/MAX(1,SUMPRODUCT(($B$2:$B$151=TRUE())*ISNUMBER(Fundamentals!$H$2:$H$151))))),IF(NOT(ISNUMBER(Fundamentals!I131)),50,100*(SUMPRODUCT(($B$2:$B$151=TRUE())*ISNUMBER(Fundamentals!$I$2:$I$151)*(Fundamentals!$I$2:$I$151&lt;Fundamentals!I131))/MAX(1,SUMPRODUCT(($B$2:$B$151=TRUE())*ISNUMBER(Fundamentals!$I$2:$I$151))))))</f>
        <v>50</v>
      </c>
      <c r="F131" s="5" t="n">
        <f aca="false">IF(Tickers!C131="Financial Services",50,IF(NOT(ISNUMBER(Fundamentals!G131)),50,100*(1-(SUMPRODUCT(($B$2:$B$151=TRUE())*ISNUMBER(Fundamentals!$G$2:$G$151)*(Fundamentals!$G$2:$G$151&lt;Fundamentals!G131))/MAX(1,SUMPRODUCT(($B$2:$B$151=TRUE())*ISNUMBER(Fundamentals!$G$2:$G$151)))))))</f>
        <v>50</v>
      </c>
      <c r="G131" s="5" t="n">
        <f aca="false">AVERAGE(C131:F131)</f>
        <v>50</v>
      </c>
      <c r="H131" s="5" t="n">
        <f aca="false">MIN(100,MAX(0,IF(NOT(ISNUMBER(PriceMetrics!K131)),50,100*(SUMPRODUCT(($B$2:$B$151=TRUE())*ISNUMBER(PriceMetrics!$K$2:$K$151)*(PriceMetrics!$K$2:$K$151&lt;PriceMetrics!K131))/MAX(1,SUMPRODUCT(($B$2:$B$151=TRUE())*ISNUMBER(PriceMetrics!$K$2:$K$151)))))+IF(ISNUMBER(PriceMetrics!L131),10*PriceMetrics!L131,0)))</f>
        <v>50</v>
      </c>
      <c r="I131" s="5" t="n">
        <f aca="false">0.6*IF(NOT(ISNUMBER(PriceMetrics!P131)),50,100*(SUMPRODUCT(($B$2:$B$151=TRUE())*ISNUMBER(PriceMetrics!$P$2:$P$151)*(PriceMetrics!$P$2:$P$151&lt;PriceMetrics!P131))/MAX(1,SUMPRODUCT(($B$2:$B$151=TRUE())*ISNUMBER(PriceMetrics!$P$2:$P$151)))))+0.4*IF(NOT(ISNUMBER(PriceMetrics!H131)),50,IF(PriceMetrics!H131&gt;70,40,IF(PriceMetrics!H131&gt;=50,100,IF(PriceMetrics!H131&gt;=35,60,30))))</f>
        <v>50</v>
      </c>
      <c r="J131" s="5" t="n">
        <f aca="false">AVERAGE(IF(NOT(ISNUMBER(PriceMetrics!F131)),50,100*(1-(SUMPRODUCT(($B$2:$B$151=TRUE())*ISNUMBER(PriceMetrics!$F$2:$F$151)*(PriceMetrics!$F$2:$F$151&lt;PriceMetrics!F131))/MAX(1,SUMPRODUCT(($B$2:$B$151=TRUE())*ISNUMBER(PriceMetrics!$F$2:$F$151)))))),IF(NOT(ISNUMBER(PriceMetrics!G131)),50,100*(1-(SUMPRODUCT(($B$2:$B$151=TRUE())*ISNUMBER(PriceMetrics!$G$2:$G$151)*(ABS(PriceMetrics!$G$2:$G$151)&lt;ABS(PriceMetrics!G131)))/MAX(1,SUMPRODUCT(($B$2:$B$151=TRUE())*ISNUMBER(PriceMetrics!$G$2:$G$151)))))))</f>
        <v>50</v>
      </c>
      <c r="K131" s="5" t="n">
        <f aca="false">AVERAGE(H131:J131)</f>
        <v>50</v>
      </c>
      <c r="L131" s="8" t="n">
        <f aca="false">Macro!$B$26</f>
        <v>53.5</v>
      </c>
      <c r="M131" s="5" t="n">
        <f aca="false">Control!$B$3*100*G131/100+Control!$B$4*K131+Control!$B$5*L131</f>
        <v>50.7</v>
      </c>
      <c r="N131" s="3" t="n">
        <f aca="false">M131+ROW()/1000000</f>
        <v>50.700131</v>
      </c>
      <c r="O131" s="5" t="n">
        <f aca="false">M131-IF(AND(Tickers!D131="SMALLCAP100",Macro!$B$26&lt;40),Control!$B$11,0)</f>
        <v>50.7</v>
      </c>
      <c r="P131" s="3" t="str">
        <f aca="false">IF(B131=FALSE(),"-",IF(O131&gt;=Control!$B$7,"BUY",IF(O131&gt;=Control!$B$8,"ACCUMULATE",IF(O131&gt;=Control!$B$9,"HOLD","AVOID"))))</f>
        <v>-</v>
      </c>
      <c r="Q131" s="3" t="str">
        <f aca="false">IF(B131=FALSE(),"",IF(OR(O131&gt;=72,O131&lt;=32),"High",IF(OR(O131&gt;=62,O131&lt;=42),"Medium","Low")))</f>
        <v/>
      </c>
      <c r="R131" s="12" t="n">
        <f aca="false">IF(P131="BUY",Control!$B$12,IF(P131="ACCUMULATE",Control!$B$13,0))</f>
        <v>0</v>
      </c>
      <c r="S131" s="3" t="str">
        <f aca="false">IF(B131=FALSE(),"",IF(T131=C131,"Rich valuation",IF(T131=E131,"Weak growth",IF(T131=F131,"Balance-sheet leverage",IF(T131=I131,"Negative momentum","High volatility/drawdown")))))</f>
        <v/>
      </c>
      <c r="T131" s="3" t="n">
        <f aca="false">MIN(C131,E131,F131,I131,J131)</f>
        <v>50</v>
      </c>
      <c r="U131" s="3" t="n">
        <f aca="false">IF(B131=TRUE(),N131,-1000+ROW()/1000000)</f>
        <v>-999.999869</v>
      </c>
    </row>
    <row r="132" customFormat="false" ht="15" hidden="false" customHeight="false" outlineLevel="0" collapsed="false">
      <c r="A132" s="7" t="str">
        <f aca="false">Tickers!A132</f>
        <v>REDINGTON</v>
      </c>
      <c r="B132" s="19" t="b">
        <f aca="false">Tickers!F132</f>
        <v>0</v>
      </c>
      <c r="C132" s="5" t="n">
        <f aca="false">AVERAGE(IF(NOT(ISNUMBER(Fundamentals!C132)),50,IF(Fundamentals!C132&lt;=0,15,100*(1-(SUMPRODUCT(($B$2:$B$151=TRUE())*ISNUMBER(Fundamentals!$C$2:$C$151)*(Fundamentals!$C$2:$C$151&gt;0)*(Fundamentals!$C$2:$C$151&lt;Fundamentals!C132))/MAX(1,SUMPRODUCT(($B$2:$B$151=TRUE())*ISNUMBER(Fundamentals!$C$2:$C$151)*(Fundamentals!$C$2:$C$151&gt;0))))))),IF(NOT(ISNUMBER(Fundamentals!E132)),50,IF(Fundamentals!E132&lt;=0,15,100*(1-(SUMPRODUCT(($B$2:$B$151=TRUE())*ISNUMBER(Fundamentals!$E$2:$E$151)*(Fundamentals!$E$2:$E$151&gt;0)*(Fundamentals!$E$2:$E$151&lt;Fundamentals!E132))/MAX(1,SUMPRODUCT(($B$2:$B$151=TRUE())*ISNUMBER(Fundamentals!$E$2:$E$151)*(Fundamentals!$E$2:$E$151&gt;0))))))))</f>
        <v>50</v>
      </c>
      <c r="D132" s="5" t="n">
        <f aca="false">AVERAGE(IF(NOT(ISNUMBER(Fundamentals!F132)),50,100*(SUMPRODUCT(($B$2:$B$151=TRUE())*ISNUMBER(Fundamentals!$F$2:$F$151)*(Fundamentals!$F$2:$F$151&lt;Fundamentals!F132))/MAX(1,SUMPRODUCT(($B$2:$B$151=TRUE())*ISNUMBER(Fundamentals!$F$2:$F$151))))),IF(NOT(ISNUMBER(Fundamentals!J132)),50,100*(SUMPRODUCT(($B$2:$B$151=TRUE())*ISNUMBER(Fundamentals!$J$2:$J$151)*(Fundamentals!$J$2:$J$151&lt;Fundamentals!J132))/MAX(1,SUMPRODUCT(($B$2:$B$151=TRUE())*ISNUMBER(Fundamentals!$J$2:$J$151))))))</f>
        <v>50</v>
      </c>
      <c r="E132" s="5" t="n">
        <f aca="false">AVERAGE(IF(NOT(ISNUMBER(Fundamentals!H132)),50,100*(SUMPRODUCT(($B$2:$B$151=TRUE())*ISNUMBER(Fundamentals!$H$2:$H$151)*(Fundamentals!$H$2:$H$151&lt;Fundamentals!H132))/MAX(1,SUMPRODUCT(($B$2:$B$151=TRUE())*ISNUMBER(Fundamentals!$H$2:$H$151))))),IF(NOT(ISNUMBER(Fundamentals!I132)),50,100*(SUMPRODUCT(($B$2:$B$151=TRUE())*ISNUMBER(Fundamentals!$I$2:$I$151)*(Fundamentals!$I$2:$I$151&lt;Fundamentals!I132))/MAX(1,SUMPRODUCT(($B$2:$B$151=TRUE())*ISNUMBER(Fundamentals!$I$2:$I$151))))))</f>
        <v>50</v>
      </c>
      <c r="F132" s="5" t="n">
        <f aca="false">IF(Tickers!C132="Financial Services",50,IF(NOT(ISNUMBER(Fundamentals!G132)),50,100*(1-(SUMPRODUCT(($B$2:$B$151=TRUE())*ISNUMBER(Fundamentals!$G$2:$G$151)*(Fundamentals!$G$2:$G$151&lt;Fundamentals!G132))/MAX(1,SUMPRODUCT(($B$2:$B$151=TRUE())*ISNUMBER(Fundamentals!$G$2:$G$151)))))))</f>
        <v>50</v>
      </c>
      <c r="G132" s="5" t="n">
        <f aca="false">AVERAGE(C132:F132)</f>
        <v>50</v>
      </c>
      <c r="H132" s="5" t="n">
        <f aca="false">MIN(100,MAX(0,IF(NOT(ISNUMBER(PriceMetrics!K132)),50,100*(SUMPRODUCT(($B$2:$B$151=TRUE())*ISNUMBER(PriceMetrics!$K$2:$K$151)*(PriceMetrics!$K$2:$K$151&lt;PriceMetrics!K132))/MAX(1,SUMPRODUCT(($B$2:$B$151=TRUE())*ISNUMBER(PriceMetrics!$K$2:$K$151)))))+IF(ISNUMBER(PriceMetrics!L132),10*PriceMetrics!L132,0)))</f>
        <v>50</v>
      </c>
      <c r="I132" s="5" t="n">
        <f aca="false">0.6*IF(NOT(ISNUMBER(PriceMetrics!P132)),50,100*(SUMPRODUCT(($B$2:$B$151=TRUE())*ISNUMBER(PriceMetrics!$P$2:$P$151)*(PriceMetrics!$P$2:$P$151&lt;PriceMetrics!P132))/MAX(1,SUMPRODUCT(($B$2:$B$151=TRUE())*ISNUMBER(PriceMetrics!$P$2:$P$151)))))+0.4*IF(NOT(ISNUMBER(PriceMetrics!H132)),50,IF(PriceMetrics!H132&gt;70,40,IF(PriceMetrics!H132&gt;=50,100,IF(PriceMetrics!H132&gt;=35,60,30))))</f>
        <v>50</v>
      </c>
      <c r="J132" s="5" t="n">
        <f aca="false">AVERAGE(IF(NOT(ISNUMBER(PriceMetrics!F132)),50,100*(1-(SUMPRODUCT(($B$2:$B$151=TRUE())*ISNUMBER(PriceMetrics!$F$2:$F$151)*(PriceMetrics!$F$2:$F$151&lt;PriceMetrics!F132))/MAX(1,SUMPRODUCT(($B$2:$B$151=TRUE())*ISNUMBER(PriceMetrics!$F$2:$F$151)))))),IF(NOT(ISNUMBER(PriceMetrics!G132)),50,100*(1-(SUMPRODUCT(($B$2:$B$151=TRUE())*ISNUMBER(PriceMetrics!$G$2:$G$151)*(ABS(PriceMetrics!$G$2:$G$151)&lt;ABS(PriceMetrics!G132)))/MAX(1,SUMPRODUCT(($B$2:$B$151=TRUE())*ISNUMBER(PriceMetrics!$G$2:$G$151)))))))</f>
        <v>50</v>
      </c>
      <c r="K132" s="5" t="n">
        <f aca="false">AVERAGE(H132:J132)</f>
        <v>50</v>
      </c>
      <c r="L132" s="8" t="n">
        <f aca="false">Macro!$B$26</f>
        <v>53.5</v>
      </c>
      <c r="M132" s="5" t="n">
        <f aca="false">Control!$B$3*100*G132/100+Control!$B$4*K132+Control!$B$5*L132</f>
        <v>50.7</v>
      </c>
      <c r="N132" s="3" t="n">
        <f aca="false">M132+ROW()/1000000</f>
        <v>50.700132</v>
      </c>
      <c r="O132" s="5" t="n">
        <f aca="false">M132-IF(AND(Tickers!D132="SMALLCAP100",Macro!$B$26&lt;40),Control!$B$11,0)</f>
        <v>50.7</v>
      </c>
      <c r="P132" s="3" t="str">
        <f aca="false">IF(B132=FALSE(),"-",IF(O132&gt;=Control!$B$7,"BUY",IF(O132&gt;=Control!$B$8,"ACCUMULATE",IF(O132&gt;=Control!$B$9,"HOLD","AVOID"))))</f>
        <v>-</v>
      </c>
      <c r="Q132" s="3" t="str">
        <f aca="false">IF(B132=FALSE(),"",IF(OR(O132&gt;=72,O132&lt;=32),"High",IF(OR(O132&gt;=62,O132&lt;=42),"Medium","Low")))</f>
        <v/>
      </c>
      <c r="R132" s="12" t="n">
        <f aca="false">IF(P132="BUY",Control!$B$12,IF(P132="ACCUMULATE",Control!$B$13,0))</f>
        <v>0</v>
      </c>
      <c r="S132" s="3" t="str">
        <f aca="false">IF(B132=FALSE(),"",IF(T132=C132,"Rich valuation",IF(T132=E132,"Weak growth",IF(T132=F132,"Balance-sheet leverage",IF(T132=I132,"Negative momentum","High volatility/drawdown")))))</f>
        <v/>
      </c>
      <c r="T132" s="3" t="n">
        <f aca="false">MIN(C132,E132,F132,I132,J132)</f>
        <v>50</v>
      </c>
      <c r="U132" s="3" t="n">
        <f aca="false">IF(B132=TRUE(),N132,-1000+ROW()/1000000)</f>
        <v>-999.999868</v>
      </c>
    </row>
    <row r="133" customFormat="false" ht="15" hidden="false" customHeight="false" outlineLevel="0" collapsed="false">
      <c r="A133" s="7" t="str">
        <f aca="false">Tickers!A133</f>
        <v>RPOWER</v>
      </c>
      <c r="B133" s="19" t="b">
        <f aca="false">Tickers!F133</f>
        <v>0</v>
      </c>
      <c r="C133" s="5" t="n">
        <f aca="false">AVERAGE(IF(NOT(ISNUMBER(Fundamentals!C133)),50,IF(Fundamentals!C133&lt;=0,15,100*(1-(SUMPRODUCT(($B$2:$B$151=TRUE())*ISNUMBER(Fundamentals!$C$2:$C$151)*(Fundamentals!$C$2:$C$151&gt;0)*(Fundamentals!$C$2:$C$151&lt;Fundamentals!C133))/MAX(1,SUMPRODUCT(($B$2:$B$151=TRUE())*ISNUMBER(Fundamentals!$C$2:$C$151)*(Fundamentals!$C$2:$C$151&gt;0))))))),IF(NOT(ISNUMBER(Fundamentals!E133)),50,IF(Fundamentals!E133&lt;=0,15,100*(1-(SUMPRODUCT(($B$2:$B$151=TRUE())*ISNUMBER(Fundamentals!$E$2:$E$151)*(Fundamentals!$E$2:$E$151&gt;0)*(Fundamentals!$E$2:$E$151&lt;Fundamentals!E133))/MAX(1,SUMPRODUCT(($B$2:$B$151=TRUE())*ISNUMBER(Fundamentals!$E$2:$E$151)*(Fundamentals!$E$2:$E$151&gt;0))))))))</f>
        <v>50</v>
      </c>
      <c r="D133" s="5" t="n">
        <f aca="false">AVERAGE(IF(NOT(ISNUMBER(Fundamentals!F133)),50,100*(SUMPRODUCT(($B$2:$B$151=TRUE())*ISNUMBER(Fundamentals!$F$2:$F$151)*(Fundamentals!$F$2:$F$151&lt;Fundamentals!F133))/MAX(1,SUMPRODUCT(($B$2:$B$151=TRUE())*ISNUMBER(Fundamentals!$F$2:$F$151))))),IF(NOT(ISNUMBER(Fundamentals!J133)),50,100*(SUMPRODUCT(($B$2:$B$151=TRUE())*ISNUMBER(Fundamentals!$J$2:$J$151)*(Fundamentals!$J$2:$J$151&lt;Fundamentals!J133))/MAX(1,SUMPRODUCT(($B$2:$B$151=TRUE())*ISNUMBER(Fundamentals!$J$2:$J$151))))))</f>
        <v>50</v>
      </c>
      <c r="E133" s="5" t="n">
        <f aca="false">AVERAGE(IF(NOT(ISNUMBER(Fundamentals!H133)),50,100*(SUMPRODUCT(($B$2:$B$151=TRUE())*ISNUMBER(Fundamentals!$H$2:$H$151)*(Fundamentals!$H$2:$H$151&lt;Fundamentals!H133))/MAX(1,SUMPRODUCT(($B$2:$B$151=TRUE())*ISNUMBER(Fundamentals!$H$2:$H$151))))),IF(NOT(ISNUMBER(Fundamentals!I133)),50,100*(SUMPRODUCT(($B$2:$B$151=TRUE())*ISNUMBER(Fundamentals!$I$2:$I$151)*(Fundamentals!$I$2:$I$151&lt;Fundamentals!I133))/MAX(1,SUMPRODUCT(($B$2:$B$151=TRUE())*ISNUMBER(Fundamentals!$I$2:$I$151))))))</f>
        <v>50</v>
      </c>
      <c r="F133" s="5" t="n">
        <f aca="false">IF(Tickers!C133="Financial Services",50,IF(NOT(ISNUMBER(Fundamentals!G133)),50,100*(1-(SUMPRODUCT(($B$2:$B$151=TRUE())*ISNUMBER(Fundamentals!$G$2:$G$151)*(Fundamentals!$G$2:$G$151&lt;Fundamentals!G133))/MAX(1,SUMPRODUCT(($B$2:$B$151=TRUE())*ISNUMBER(Fundamentals!$G$2:$G$151)))))))</f>
        <v>50</v>
      </c>
      <c r="G133" s="5" t="n">
        <f aca="false">AVERAGE(C133:F133)</f>
        <v>50</v>
      </c>
      <c r="H133" s="5" t="n">
        <f aca="false">MIN(100,MAX(0,IF(NOT(ISNUMBER(PriceMetrics!K133)),50,100*(SUMPRODUCT(($B$2:$B$151=TRUE())*ISNUMBER(PriceMetrics!$K$2:$K$151)*(PriceMetrics!$K$2:$K$151&lt;PriceMetrics!K133))/MAX(1,SUMPRODUCT(($B$2:$B$151=TRUE())*ISNUMBER(PriceMetrics!$K$2:$K$151)))))+IF(ISNUMBER(PriceMetrics!L133),10*PriceMetrics!L133,0)))</f>
        <v>50</v>
      </c>
      <c r="I133" s="5" t="n">
        <f aca="false">0.6*IF(NOT(ISNUMBER(PriceMetrics!P133)),50,100*(SUMPRODUCT(($B$2:$B$151=TRUE())*ISNUMBER(PriceMetrics!$P$2:$P$151)*(PriceMetrics!$P$2:$P$151&lt;PriceMetrics!P133))/MAX(1,SUMPRODUCT(($B$2:$B$151=TRUE())*ISNUMBER(PriceMetrics!$P$2:$P$151)))))+0.4*IF(NOT(ISNUMBER(PriceMetrics!H133)),50,IF(PriceMetrics!H133&gt;70,40,IF(PriceMetrics!H133&gt;=50,100,IF(PriceMetrics!H133&gt;=35,60,30))))</f>
        <v>50</v>
      </c>
      <c r="J133" s="5" t="n">
        <f aca="false">AVERAGE(IF(NOT(ISNUMBER(PriceMetrics!F133)),50,100*(1-(SUMPRODUCT(($B$2:$B$151=TRUE())*ISNUMBER(PriceMetrics!$F$2:$F$151)*(PriceMetrics!$F$2:$F$151&lt;PriceMetrics!F133))/MAX(1,SUMPRODUCT(($B$2:$B$151=TRUE())*ISNUMBER(PriceMetrics!$F$2:$F$151)))))),IF(NOT(ISNUMBER(PriceMetrics!G133)),50,100*(1-(SUMPRODUCT(($B$2:$B$151=TRUE())*ISNUMBER(PriceMetrics!$G$2:$G$151)*(ABS(PriceMetrics!$G$2:$G$151)&lt;ABS(PriceMetrics!G133)))/MAX(1,SUMPRODUCT(($B$2:$B$151=TRUE())*ISNUMBER(PriceMetrics!$G$2:$G$151)))))))</f>
        <v>50</v>
      </c>
      <c r="K133" s="5" t="n">
        <f aca="false">AVERAGE(H133:J133)</f>
        <v>50</v>
      </c>
      <c r="L133" s="8" t="n">
        <f aca="false">Macro!$B$26</f>
        <v>53.5</v>
      </c>
      <c r="M133" s="5" t="n">
        <f aca="false">Control!$B$3*100*G133/100+Control!$B$4*K133+Control!$B$5*L133</f>
        <v>50.7</v>
      </c>
      <c r="N133" s="3" t="n">
        <f aca="false">M133+ROW()/1000000</f>
        <v>50.700133</v>
      </c>
      <c r="O133" s="5" t="n">
        <f aca="false">M133-IF(AND(Tickers!D133="SMALLCAP100",Macro!$B$26&lt;40),Control!$B$11,0)</f>
        <v>50.7</v>
      </c>
      <c r="P133" s="3" t="str">
        <f aca="false">IF(B133=FALSE(),"-",IF(O133&gt;=Control!$B$7,"BUY",IF(O133&gt;=Control!$B$8,"ACCUMULATE",IF(O133&gt;=Control!$B$9,"HOLD","AVOID"))))</f>
        <v>-</v>
      </c>
      <c r="Q133" s="3" t="str">
        <f aca="false">IF(B133=FALSE(),"",IF(OR(O133&gt;=72,O133&lt;=32),"High",IF(OR(O133&gt;=62,O133&lt;=42),"Medium","Low")))</f>
        <v/>
      </c>
      <c r="R133" s="12" t="n">
        <f aca="false">IF(P133="BUY",Control!$B$12,IF(P133="ACCUMULATE",Control!$B$13,0))</f>
        <v>0</v>
      </c>
      <c r="S133" s="3" t="str">
        <f aca="false">IF(B133=FALSE(),"",IF(T133=C133,"Rich valuation",IF(T133=E133,"Weak growth",IF(T133=F133,"Balance-sheet leverage",IF(T133=I133,"Negative momentum","High volatility/drawdown")))))</f>
        <v/>
      </c>
      <c r="T133" s="3" t="n">
        <f aca="false">MIN(C133,E133,F133,I133,J133)</f>
        <v>50</v>
      </c>
      <c r="U133" s="3" t="n">
        <f aca="false">IF(B133=TRUE(),N133,-1000+ROW()/1000000)</f>
        <v>-999.999867</v>
      </c>
    </row>
    <row r="134" customFormat="false" ht="15" hidden="false" customHeight="false" outlineLevel="0" collapsed="false">
      <c r="A134" s="7" t="str">
        <f aca="false">Tickers!A134</f>
        <v>SAGILITY</v>
      </c>
      <c r="B134" s="19" t="b">
        <f aca="false">Tickers!F134</f>
        <v>0</v>
      </c>
      <c r="C134" s="5" t="n">
        <f aca="false">AVERAGE(IF(NOT(ISNUMBER(Fundamentals!C134)),50,IF(Fundamentals!C134&lt;=0,15,100*(1-(SUMPRODUCT(($B$2:$B$151=TRUE())*ISNUMBER(Fundamentals!$C$2:$C$151)*(Fundamentals!$C$2:$C$151&gt;0)*(Fundamentals!$C$2:$C$151&lt;Fundamentals!C134))/MAX(1,SUMPRODUCT(($B$2:$B$151=TRUE())*ISNUMBER(Fundamentals!$C$2:$C$151)*(Fundamentals!$C$2:$C$151&gt;0))))))),IF(NOT(ISNUMBER(Fundamentals!E134)),50,IF(Fundamentals!E134&lt;=0,15,100*(1-(SUMPRODUCT(($B$2:$B$151=TRUE())*ISNUMBER(Fundamentals!$E$2:$E$151)*(Fundamentals!$E$2:$E$151&gt;0)*(Fundamentals!$E$2:$E$151&lt;Fundamentals!E134))/MAX(1,SUMPRODUCT(($B$2:$B$151=TRUE())*ISNUMBER(Fundamentals!$E$2:$E$151)*(Fundamentals!$E$2:$E$151&gt;0))))))))</f>
        <v>50</v>
      </c>
      <c r="D134" s="5" t="n">
        <f aca="false">AVERAGE(IF(NOT(ISNUMBER(Fundamentals!F134)),50,100*(SUMPRODUCT(($B$2:$B$151=TRUE())*ISNUMBER(Fundamentals!$F$2:$F$151)*(Fundamentals!$F$2:$F$151&lt;Fundamentals!F134))/MAX(1,SUMPRODUCT(($B$2:$B$151=TRUE())*ISNUMBER(Fundamentals!$F$2:$F$151))))),IF(NOT(ISNUMBER(Fundamentals!J134)),50,100*(SUMPRODUCT(($B$2:$B$151=TRUE())*ISNUMBER(Fundamentals!$J$2:$J$151)*(Fundamentals!$J$2:$J$151&lt;Fundamentals!J134))/MAX(1,SUMPRODUCT(($B$2:$B$151=TRUE())*ISNUMBER(Fundamentals!$J$2:$J$151))))))</f>
        <v>50</v>
      </c>
      <c r="E134" s="5" t="n">
        <f aca="false">AVERAGE(IF(NOT(ISNUMBER(Fundamentals!H134)),50,100*(SUMPRODUCT(($B$2:$B$151=TRUE())*ISNUMBER(Fundamentals!$H$2:$H$151)*(Fundamentals!$H$2:$H$151&lt;Fundamentals!H134))/MAX(1,SUMPRODUCT(($B$2:$B$151=TRUE())*ISNUMBER(Fundamentals!$H$2:$H$151))))),IF(NOT(ISNUMBER(Fundamentals!I134)),50,100*(SUMPRODUCT(($B$2:$B$151=TRUE())*ISNUMBER(Fundamentals!$I$2:$I$151)*(Fundamentals!$I$2:$I$151&lt;Fundamentals!I134))/MAX(1,SUMPRODUCT(($B$2:$B$151=TRUE())*ISNUMBER(Fundamentals!$I$2:$I$151))))))</f>
        <v>50</v>
      </c>
      <c r="F134" s="5" t="n">
        <f aca="false">IF(Tickers!C134="Financial Services",50,IF(NOT(ISNUMBER(Fundamentals!G134)),50,100*(1-(SUMPRODUCT(($B$2:$B$151=TRUE())*ISNUMBER(Fundamentals!$G$2:$G$151)*(Fundamentals!$G$2:$G$151&lt;Fundamentals!G134))/MAX(1,SUMPRODUCT(($B$2:$B$151=TRUE())*ISNUMBER(Fundamentals!$G$2:$G$151)))))))</f>
        <v>50</v>
      </c>
      <c r="G134" s="5" t="n">
        <f aca="false">AVERAGE(C134:F134)</f>
        <v>50</v>
      </c>
      <c r="H134" s="5" t="n">
        <f aca="false">MIN(100,MAX(0,IF(NOT(ISNUMBER(PriceMetrics!K134)),50,100*(SUMPRODUCT(($B$2:$B$151=TRUE())*ISNUMBER(PriceMetrics!$K$2:$K$151)*(PriceMetrics!$K$2:$K$151&lt;PriceMetrics!K134))/MAX(1,SUMPRODUCT(($B$2:$B$151=TRUE())*ISNUMBER(PriceMetrics!$K$2:$K$151)))))+IF(ISNUMBER(PriceMetrics!L134),10*PriceMetrics!L134,0)))</f>
        <v>50</v>
      </c>
      <c r="I134" s="5" t="n">
        <f aca="false">0.6*IF(NOT(ISNUMBER(PriceMetrics!P134)),50,100*(SUMPRODUCT(($B$2:$B$151=TRUE())*ISNUMBER(PriceMetrics!$P$2:$P$151)*(PriceMetrics!$P$2:$P$151&lt;PriceMetrics!P134))/MAX(1,SUMPRODUCT(($B$2:$B$151=TRUE())*ISNUMBER(PriceMetrics!$P$2:$P$151)))))+0.4*IF(NOT(ISNUMBER(PriceMetrics!H134)),50,IF(PriceMetrics!H134&gt;70,40,IF(PriceMetrics!H134&gt;=50,100,IF(PriceMetrics!H134&gt;=35,60,30))))</f>
        <v>50</v>
      </c>
      <c r="J134" s="5" t="n">
        <f aca="false">AVERAGE(IF(NOT(ISNUMBER(PriceMetrics!F134)),50,100*(1-(SUMPRODUCT(($B$2:$B$151=TRUE())*ISNUMBER(PriceMetrics!$F$2:$F$151)*(PriceMetrics!$F$2:$F$151&lt;PriceMetrics!F134))/MAX(1,SUMPRODUCT(($B$2:$B$151=TRUE())*ISNUMBER(PriceMetrics!$F$2:$F$151)))))),IF(NOT(ISNUMBER(PriceMetrics!G134)),50,100*(1-(SUMPRODUCT(($B$2:$B$151=TRUE())*ISNUMBER(PriceMetrics!$G$2:$G$151)*(ABS(PriceMetrics!$G$2:$G$151)&lt;ABS(PriceMetrics!G134)))/MAX(1,SUMPRODUCT(($B$2:$B$151=TRUE())*ISNUMBER(PriceMetrics!$G$2:$G$151)))))))</f>
        <v>50</v>
      </c>
      <c r="K134" s="5" t="n">
        <f aca="false">AVERAGE(H134:J134)</f>
        <v>50</v>
      </c>
      <c r="L134" s="8" t="n">
        <f aca="false">Macro!$B$26</f>
        <v>53.5</v>
      </c>
      <c r="M134" s="5" t="n">
        <f aca="false">Control!$B$3*100*G134/100+Control!$B$4*K134+Control!$B$5*L134</f>
        <v>50.7</v>
      </c>
      <c r="N134" s="3" t="n">
        <f aca="false">M134+ROW()/1000000</f>
        <v>50.700134</v>
      </c>
      <c r="O134" s="5" t="n">
        <f aca="false">M134-IF(AND(Tickers!D134="SMALLCAP100",Macro!$B$26&lt;40),Control!$B$11,0)</f>
        <v>50.7</v>
      </c>
      <c r="P134" s="3" t="str">
        <f aca="false">IF(B134=FALSE(),"-",IF(O134&gt;=Control!$B$7,"BUY",IF(O134&gt;=Control!$B$8,"ACCUMULATE",IF(O134&gt;=Control!$B$9,"HOLD","AVOID"))))</f>
        <v>-</v>
      </c>
      <c r="Q134" s="3" t="str">
        <f aca="false">IF(B134=FALSE(),"",IF(OR(O134&gt;=72,O134&lt;=32),"High",IF(OR(O134&gt;=62,O134&lt;=42),"Medium","Low")))</f>
        <v/>
      </c>
      <c r="R134" s="12" t="n">
        <f aca="false">IF(P134="BUY",Control!$B$12,IF(P134="ACCUMULATE",Control!$B$13,0))</f>
        <v>0</v>
      </c>
      <c r="S134" s="3" t="str">
        <f aca="false">IF(B134=FALSE(),"",IF(T134=C134,"Rich valuation",IF(T134=E134,"Weak growth",IF(T134=F134,"Balance-sheet leverage",IF(T134=I134,"Negative momentum","High volatility/drawdown")))))</f>
        <v/>
      </c>
      <c r="T134" s="3" t="n">
        <f aca="false">MIN(C134,E134,F134,I134,J134)</f>
        <v>50</v>
      </c>
      <c r="U134" s="3" t="n">
        <f aca="false">IF(B134=TRUE(),N134,-1000+ROW()/1000000)</f>
        <v>-999.999866</v>
      </c>
    </row>
    <row r="135" customFormat="false" ht="15" hidden="false" customHeight="false" outlineLevel="0" collapsed="false">
      <c r="A135" s="7" t="str">
        <f aca="false">Tickers!A135</f>
        <v>SAILIFE</v>
      </c>
      <c r="B135" s="19" t="b">
        <f aca="false">Tickers!F135</f>
        <v>0</v>
      </c>
      <c r="C135" s="5" t="n">
        <f aca="false">AVERAGE(IF(NOT(ISNUMBER(Fundamentals!C135)),50,IF(Fundamentals!C135&lt;=0,15,100*(1-(SUMPRODUCT(($B$2:$B$151=TRUE())*ISNUMBER(Fundamentals!$C$2:$C$151)*(Fundamentals!$C$2:$C$151&gt;0)*(Fundamentals!$C$2:$C$151&lt;Fundamentals!C135))/MAX(1,SUMPRODUCT(($B$2:$B$151=TRUE())*ISNUMBER(Fundamentals!$C$2:$C$151)*(Fundamentals!$C$2:$C$151&gt;0))))))),IF(NOT(ISNUMBER(Fundamentals!E135)),50,IF(Fundamentals!E135&lt;=0,15,100*(1-(SUMPRODUCT(($B$2:$B$151=TRUE())*ISNUMBER(Fundamentals!$E$2:$E$151)*(Fundamentals!$E$2:$E$151&gt;0)*(Fundamentals!$E$2:$E$151&lt;Fundamentals!E135))/MAX(1,SUMPRODUCT(($B$2:$B$151=TRUE())*ISNUMBER(Fundamentals!$E$2:$E$151)*(Fundamentals!$E$2:$E$151&gt;0))))))))</f>
        <v>50</v>
      </c>
      <c r="D135" s="5" t="n">
        <f aca="false">AVERAGE(IF(NOT(ISNUMBER(Fundamentals!F135)),50,100*(SUMPRODUCT(($B$2:$B$151=TRUE())*ISNUMBER(Fundamentals!$F$2:$F$151)*(Fundamentals!$F$2:$F$151&lt;Fundamentals!F135))/MAX(1,SUMPRODUCT(($B$2:$B$151=TRUE())*ISNUMBER(Fundamentals!$F$2:$F$151))))),IF(NOT(ISNUMBER(Fundamentals!J135)),50,100*(SUMPRODUCT(($B$2:$B$151=TRUE())*ISNUMBER(Fundamentals!$J$2:$J$151)*(Fundamentals!$J$2:$J$151&lt;Fundamentals!J135))/MAX(1,SUMPRODUCT(($B$2:$B$151=TRUE())*ISNUMBER(Fundamentals!$J$2:$J$151))))))</f>
        <v>50</v>
      </c>
      <c r="E135" s="5" t="n">
        <f aca="false">AVERAGE(IF(NOT(ISNUMBER(Fundamentals!H135)),50,100*(SUMPRODUCT(($B$2:$B$151=TRUE())*ISNUMBER(Fundamentals!$H$2:$H$151)*(Fundamentals!$H$2:$H$151&lt;Fundamentals!H135))/MAX(1,SUMPRODUCT(($B$2:$B$151=TRUE())*ISNUMBER(Fundamentals!$H$2:$H$151))))),IF(NOT(ISNUMBER(Fundamentals!I135)),50,100*(SUMPRODUCT(($B$2:$B$151=TRUE())*ISNUMBER(Fundamentals!$I$2:$I$151)*(Fundamentals!$I$2:$I$151&lt;Fundamentals!I135))/MAX(1,SUMPRODUCT(($B$2:$B$151=TRUE())*ISNUMBER(Fundamentals!$I$2:$I$151))))))</f>
        <v>50</v>
      </c>
      <c r="F135" s="5" t="n">
        <f aca="false">IF(Tickers!C135="Financial Services",50,IF(NOT(ISNUMBER(Fundamentals!G135)),50,100*(1-(SUMPRODUCT(($B$2:$B$151=TRUE())*ISNUMBER(Fundamentals!$G$2:$G$151)*(Fundamentals!$G$2:$G$151&lt;Fundamentals!G135))/MAX(1,SUMPRODUCT(($B$2:$B$151=TRUE())*ISNUMBER(Fundamentals!$G$2:$G$151)))))))</f>
        <v>50</v>
      </c>
      <c r="G135" s="5" t="n">
        <f aca="false">AVERAGE(C135:F135)</f>
        <v>50</v>
      </c>
      <c r="H135" s="5" t="n">
        <f aca="false">MIN(100,MAX(0,IF(NOT(ISNUMBER(PriceMetrics!K135)),50,100*(SUMPRODUCT(($B$2:$B$151=TRUE())*ISNUMBER(PriceMetrics!$K$2:$K$151)*(PriceMetrics!$K$2:$K$151&lt;PriceMetrics!K135))/MAX(1,SUMPRODUCT(($B$2:$B$151=TRUE())*ISNUMBER(PriceMetrics!$K$2:$K$151)))))+IF(ISNUMBER(PriceMetrics!L135),10*PriceMetrics!L135,0)))</f>
        <v>50</v>
      </c>
      <c r="I135" s="5" t="n">
        <f aca="false">0.6*IF(NOT(ISNUMBER(PriceMetrics!P135)),50,100*(SUMPRODUCT(($B$2:$B$151=TRUE())*ISNUMBER(PriceMetrics!$P$2:$P$151)*(PriceMetrics!$P$2:$P$151&lt;PriceMetrics!P135))/MAX(1,SUMPRODUCT(($B$2:$B$151=TRUE())*ISNUMBER(PriceMetrics!$P$2:$P$151)))))+0.4*IF(NOT(ISNUMBER(PriceMetrics!H135)),50,IF(PriceMetrics!H135&gt;70,40,IF(PriceMetrics!H135&gt;=50,100,IF(PriceMetrics!H135&gt;=35,60,30))))</f>
        <v>50</v>
      </c>
      <c r="J135" s="5" t="n">
        <f aca="false">AVERAGE(IF(NOT(ISNUMBER(PriceMetrics!F135)),50,100*(1-(SUMPRODUCT(($B$2:$B$151=TRUE())*ISNUMBER(PriceMetrics!$F$2:$F$151)*(PriceMetrics!$F$2:$F$151&lt;PriceMetrics!F135))/MAX(1,SUMPRODUCT(($B$2:$B$151=TRUE())*ISNUMBER(PriceMetrics!$F$2:$F$151)))))),IF(NOT(ISNUMBER(PriceMetrics!G135)),50,100*(1-(SUMPRODUCT(($B$2:$B$151=TRUE())*ISNUMBER(PriceMetrics!$G$2:$G$151)*(ABS(PriceMetrics!$G$2:$G$151)&lt;ABS(PriceMetrics!G135)))/MAX(1,SUMPRODUCT(($B$2:$B$151=TRUE())*ISNUMBER(PriceMetrics!$G$2:$G$151)))))))</f>
        <v>50</v>
      </c>
      <c r="K135" s="5" t="n">
        <f aca="false">AVERAGE(H135:J135)</f>
        <v>50</v>
      </c>
      <c r="L135" s="8" t="n">
        <f aca="false">Macro!$B$26</f>
        <v>53.5</v>
      </c>
      <c r="M135" s="5" t="n">
        <f aca="false">Control!$B$3*100*G135/100+Control!$B$4*K135+Control!$B$5*L135</f>
        <v>50.7</v>
      </c>
      <c r="N135" s="3" t="n">
        <f aca="false">M135+ROW()/1000000</f>
        <v>50.700135</v>
      </c>
      <c r="O135" s="5" t="n">
        <f aca="false">M135-IF(AND(Tickers!D135="SMALLCAP100",Macro!$B$26&lt;40),Control!$B$11,0)</f>
        <v>50.7</v>
      </c>
      <c r="P135" s="3" t="str">
        <f aca="false">IF(B135=FALSE(),"-",IF(O135&gt;=Control!$B$7,"BUY",IF(O135&gt;=Control!$B$8,"ACCUMULATE",IF(O135&gt;=Control!$B$9,"HOLD","AVOID"))))</f>
        <v>-</v>
      </c>
      <c r="Q135" s="3" t="str">
        <f aca="false">IF(B135=FALSE(),"",IF(OR(O135&gt;=72,O135&lt;=32),"High",IF(OR(O135&gt;=62,O135&lt;=42),"Medium","Low")))</f>
        <v/>
      </c>
      <c r="R135" s="12" t="n">
        <f aca="false">IF(P135="BUY",Control!$B$12,IF(P135="ACCUMULATE",Control!$B$13,0))</f>
        <v>0</v>
      </c>
      <c r="S135" s="3" t="str">
        <f aca="false">IF(B135=FALSE(),"",IF(T135=C135,"Rich valuation",IF(T135=E135,"Weak growth",IF(T135=F135,"Balance-sheet leverage",IF(T135=I135,"Negative momentum","High volatility/drawdown")))))</f>
        <v/>
      </c>
      <c r="T135" s="3" t="n">
        <f aca="false">MIN(C135,E135,F135,I135,J135)</f>
        <v>50</v>
      </c>
      <c r="U135" s="3" t="n">
        <f aca="false">IF(B135=TRUE(),N135,-1000+ROW()/1000000)</f>
        <v>-999.999865</v>
      </c>
    </row>
    <row r="136" customFormat="false" ht="15" hidden="false" customHeight="false" outlineLevel="0" collapsed="false">
      <c r="A136" s="7" t="str">
        <f aca="false">Tickers!A136</f>
        <v>SARDAEN</v>
      </c>
      <c r="B136" s="19" t="b">
        <f aca="false">Tickers!F136</f>
        <v>0</v>
      </c>
      <c r="C136" s="5" t="n">
        <f aca="false">AVERAGE(IF(NOT(ISNUMBER(Fundamentals!C136)),50,IF(Fundamentals!C136&lt;=0,15,100*(1-(SUMPRODUCT(($B$2:$B$151=TRUE())*ISNUMBER(Fundamentals!$C$2:$C$151)*(Fundamentals!$C$2:$C$151&gt;0)*(Fundamentals!$C$2:$C$151&lt;Fundamentals!C136))/MAX(1,SUMPRODUCT(($B$2:$B$151=TRUE())*ISNUMBER(Fundamentals!$C$2:$C$151)*(Fundamentals!$C$2:$C$151&gt;0))))))),IF(NOT(ISNUMBER(Fundamentals!E136)),50,IF(Fundamentals!E136&lt;=0,15,100*(1-(SUMPRODUCT(($B$2:$B$151=TRUE())*ISNUMBER(Fundamentals!$E$2:$E$151)*(Fundamentals!$E$2:$E$151&gt;0)*(Fundamentals!$E$2:$E$151&lt;Fundamentals!E136))/MAX(1,SUMPRODUCT(($B$2:$B$151=TRUE())*ISNUMBER(Fundamentals!$E$2:$E$151)*(Fundamentals!$E$2:$E$151&gt;0))))))))</f>
        <v>50</v>
      </c>
      <c r="D136" s="5" t="n">
        <f aca="false">AVERAGE(IF(NOT(ISNUMBER(Fundamentals!F136)),50,100*(SUMPRODUCT(($B$2:$B$151=TRUE())*ISNUMBER(Fundamentals!$F$2:$F$151)*(Fundamentals!$F$2:$F$151&lt;Fundamentals!F136))/MAX(1,SUMPRODUCT(($B$2:$B$151=TRUE())*ISNUMBER(Fundamentals!$F$2:$F$151))))),IF(NOT(ISNUMBER(Fundamentals!J136)),50,100*(SUMPRODUCT(($B$2:$B$151=TRUE())*ISNUMBER(Fundamentals!$J$2:$J$151)*(Fundamentals!$J$2:$J$151&lt;Fundamentals!J136))/MAX(1,SUMPRODUCT(($B$2:$B$151=TRUE())*ISNUMBER(Fundamentals!$J$2:$J$151))))))</f>
        <v>50</v>
      </c>
      <c r="E136" s="5" t="n">
        <f aca="false">AVERAGE(IF(NOT(ISNUMBER(Fundamentals!H136)),50,100*(SUMPRODUCT(($B$2:$B$151=TRUE())*ISNUMBER(Fundamentals!$H$2:$H$151)*(Fundamentals!$H$2:$H$151&lt;Fundamentals!H136))/MAX(1,SUMPRODUCT(($B$2:$B$151=TRUE())*ISNUMBER(Fundamentals!$H$2:$H$151))))),IF(NOT(ISNUMBER(Fundamentals!I136)),50,100*(SUMPRODUCT(($B$2:$B$151=TRUE())*ISNUMBER(Fundamentals!$I$2:$I$151)*(Fundamentals!$I$2:$I$151&lt;Fundamentals!I136))/MAX(1,SUMPRODUCT(($B$2:$B$151=TRUE())*ISNUMBER(Fundamentals!$I$2:$I$151))))))</f>
        <v>50</v>
      </c>
      <c r="F136" s="5" t="n">
        <f aca="false">IF(Tickers!C136="Financial Services",50,IF(NOT(ISNUMBER(Fundamentals!G136)),50,100*(1-(SUMPRODUCT(($B$2:$B$151=TRUE())*ISNUMBER(Fundamentals!$G$2:$G$151)*(Fundamentals!$G$2:$G$151&lt;Fundamentals!G136))/MAX(1,SUMPRODUCT(($B$2:$B$151=TRUE())*ISNUMBER(Fundamentals!$G$2:$G$151)))))))</f>
        <v>50</v>
      </c>
      <c r="G136" s="5" t="n">
        <f aca="false">AVERAGE(C136:F136)</f>
        <v>50</v>
      </c>
      <c r="H136" s="5" t="n">
        <f aca="false">MIN(100,MAX(0,IF(NOT(ISNUMBER(PriceMetrics!K136)),50,100*(SUMPRODUCT(($B$2:$B$151=TRUE())*ISNUMBER(PriceMetrics!$K$2:$K$151)*(PriceMetrics!$K$2:$K$151&lt;PriceMetrics!K136))/MAX(1,SUMPRODUCT(($B$2:$B$151=TRUE())*ISNUMBER(PriceMetrics!$K$2:$K$151)))))+IF(ISNUMBER(PriceMetrics!L136),10*PriceMetrics!L136,0)))</f>
        <v>50</v>
      </c>
      <c r="I136" s="5" t="n">
        <f aca="false">0.6*IF(NOT(ISNUMBER(PriceMetrics!P136)),50,100*(SUMPRODUCT(($B$2:$B$151=TRUE())*ISNUMBER(PriceMetrics!$P$2:$P$151)*(PriceMetrics!$P$2:$P$151&lt;PriceMetrics!P136))/MAX(1,SUMPRODUCT(($B$2:$B$151=TRUE())*ISNUMBER(PriceMetrics!$P$2:$P$151)))))+0.4*IF(NOT(ISNUMBER(PriceMetrics!H136)),50,IF(PriceMetrics!H136&gt;70,40,IF(PriceMetrics!H136&gt;=50,100,IF(PriceMetrics!H136&gt;=35,60,30))))</f>
        <v>50</v>
      </c>
      <c r="J136" s="5" t="n">
        <f aca="false">AVERAGE(IF(NOT(ISNUMBER(PriceMetrics!F136)),50,100*(1-(SUMPRODUCT(($B$2:$B$151=TRUE())*ISNUMBER(PriceMetrics!$F$2:$F$151)*(PriceMetrics!$F$2:$F$151&lt;PriceMetrics!F136))/MAX(1,SUMPRODUCT(($B$2:$B$151=TRUE())*ISNUMBER(PriceMetrics!$F$2:$F$151)))))),IF(NOT(ISNUMBER(PriceMetrics!G136)),50,100*(1-(SUMPRODUCT(($B$2:$B$151=TRUE())*ISNUMBER(PriceMetrics!$G$2:$G$151)*(ABS(PriceMetrics!$G$2:$G$151)&lt;ABS(PriceMetrics!G136)))/MAX(1,SUMPRODUCT(($B$2:$B$151=TRUE())*ISNUMBER(PriceMetrics!$G$2:$G$151)))))))</f>
        <v>50</v>
      </c>
      <c r="K136" s="5" t="n">
        <f aca="false">AVERAGE(H136:J136)</f>
        <v>50</v>
      </c>
      <c r="L136" s="8" t="n">
        <f aca="false">Macro!$B$26</f>
        <v>53.5</v>
      </c>
      <c r="M136" s="5" t="n">
        <f aca="false">Control!$B$3*100*G136/100+Control!$B$4*K136+Control!$B$5*L136</f>
        <v>50.7</v>
      </c>
      <c r="N136" s="3" t="n">
        <f aca="false">M136+ROW()/1000000</f>
        <v>50.700136</v>
      </c>
      <c r="O136" s="5" t="n">
        <f aca="false">M136-IF(AND(Tickers!D136="SMALLCAP100",Macro!$B$26&lt;40),Control!$B$11,0)</f>
        <v>50.7</v>
      </c>
      <c r="P136" s="3" t="str">
        <f aca="false">IF(B136=FALSE(),"-",IF(O136&gt;=Control!$B$7,"BUY",IF(O136&gt;=Control!$B$8,"ACCUMULATE",IF(O136&gt;=Control!$B$9,"HOLD","AVOID"))))</f>
        <v>-</v>
      </c>
      <c r="Q136" s="3" t="str">
        <f aca="false">IF(B136=FALSE(),"",IF(OR(O136&gt;=72,O136&lt;=32),"High",IF(OR(O136&gt;=62,O136&lt;=42),"Medium","Low")))</f>
        <v/>
      </c>
      <c r="R136" s="12" t="n">
        <f aca="false">IF(P136="BUY",Control!$B$12,IF(P136="ACCUMULATE",Control!$B$13,0))</f>
        <v>0</v>
      </c>
      <c r="S136" s="3" t="str">
        <f aca="false">IF(B136=FALSE(),"",IF(T136=C136,"Rich valuation",IF(T136=E136,"Weak growth",IF(T136=F136,"Balance-sheet leverage",IF(T136=I136,"Negative momentum","High volatility/drawdown")))))</f>
        <v/>
      </c>
      <c r="T136" s="3" t="n">
        <f aca="false">MIN(C136,E136,F136,I136,J136)</f>
        <v>50</v>
      </c>
      <c r="U136" s="3" t="n">
        <f aca="false">IF(B136=TRUE(),N136,-1000+ROW()/1000000)</f>
        <v>-999.999864</v>
      </c>
    </row>
    <row r="137" customFormat="false" ht="15" hidden="false" customHeight="false" outlineLevel="0" collapsed="false">
      <c r="A137" s="7" t="str">
        <f aca="false">Tickers!A137</f>
        <v>SIGNATURE</v>
      </c>
      <c r="B137" s="19" t="b">
        <f aca="false">Tickers!F137</f>
        <v>0</v>
      </c>
      <c r="C137" s="5" t="n">
        <f aca="false">AVERAGE(IF(NOT(ISNUMBER(Fundamentals!C137)),50,IF(Fundamentals!C137&lt;=0,15,100*(1-(SUMPRODUCT(($B$2:$B$151=TRUE())*ISNUMBER(Fundamentals!$C$2:$C$151)*(Fundamentals!$C$2:$C$151&gt;0)*(Fundamentals!$C$2:$C$151&lt;Fundamentals!C137))/MAX(1,SUMPRODUCT(($B$2:$B$151=TRUE())*ISNUMBER(Fundamentals!$C$2:$C$151)*(Fundamentals!$C$2:$C$151&gt;0))))))),IF(NOT(ISNUMBER(Fundamentals!E137)),50,IF(Fundamentals!E137&lt;=0,15,100*(1-(SUMPRODUCT(($B$2:$B$151=TRUE())*ISNUMBER(Fundamentals!$E$2:$E$151)*(Fundamentals!$E$2:$E$151&gt;0)*(Fundamentals!$E$2:$E$151&lt;Fundamentals!E137))/MAX(1,SUMPRODUCT(($B$2:$B$151=TRUE())*ISNUMBER(Fundamentals!$E$2:$E$151)*(Fundamentals!$E$2:$E$151&gt;0))))))))</f>
        <v>50</v>
      </c>
      <c r="D137" s="5" t="n">
        <f aca="false">AVERAGE(IF(NOT(ISNUMBER(Fundamentals!F137)),50,100*(SUMPRODUCT(($B$2:$B$151=TRUE())*ISNUMBER(Fundamentals!$F$2:$F$151)*(Fundamentals!$F$2:$F$151&lt;Fundamentals!F137))/MAX(1,SUMPRODUCT(($B$2:$B$151=TRUE())*ISNUMBER(Fundamentals!$F$2:$F$151))))),IF(NOT(ISNUMBER(Fundamentals!J137)),50,100*(SUMPRODUCT(($B$2:$B$151=TRUE())*ISNUMBER(Fundamentals!$J$2:$J$151)*(Fundamentals!$J$2:$J$151&lt;Fundamentals!J137))/MAX(1,SUMPRODUCT(($B$2:$B$151=TRUE())*ISNUMBER(Fundamentals!$J$2:$J$151))))))</f>
        <v>50</v>
      </c>
      <c r="E137" s="5" t="n">
        <f aca="false">AVERAGE(IF(NOT(ISNUMBER(Fundamentals!H137)),50,100*(SUMPRODUCT(($B$2:$B$151=TRUE())*ISNUMBER(Fundamentals!$H$2:$H$151)*(Fundamentals!$H$2:$H$151&lt;Fundamentals!H137))/MAX(1,SUMPRODUCT(($B$2:$B$151=TRUE())*ISNUMBER(Fundamentals!$H$2:$H$151))))),IF(NOT(ISNUMBER(Fundamentals!I137)),50,100*(SUMPRODUCT(($B$2:$B$151=TRUE())*ISNUMBER(Fundamentals!$I$2:$I$151)*(Fundamentals!$I$2:$I$151&lt;Fundamentals!I137))/MAX(1,SUMPRODUCT(($B$2:$B$151=TRUE())*ISNUMBER(Fundamentals!$I$2:$I$151))))))</f>
        <v>50</v>
      </c>
      <c r="F137" s="5" t="n">
        <f aca="false">IF(Tickers!C137="Financial Services",50,IF(NOT(ISNUMBER(Fundamentals!G137)),50,100*(1-(SUMPRODUCT(($B$2:$B$151=TRUE())*ISNUMBER(Fundamentals!$G$2:$G$151)*(Fundamentals!$G$2:$G$151&lt;Fundamentals!G137))/MAX(1,SUMPRODUCT(($B$2:$B$151=TRUE())*ISNUMBER(Fundamentals!$G$2:$G$151)))))))</f>
        <v>50</v>
      </c>
      <c r="G137" s="5" t="n">
        <f aca="false">AVERAGE(C137:F137)</f>
        <v>50</v>
      </c>
      <c r="H137" s="5" t="n">
        <f aca="false">MIN(100,MAX(0,IF(NOT(ISNUMBER(PriceMetrics!K137)),50,100*(SUMPRODUCT(($B$2:$B$151=TRUE())*ISNUMBER(PriceMetrics!$K$2:$K$151)*(PriceMetrics!$K$2:$K$151&lt;PriceMetrics!K137))/MAX(1,SUMPRODUCT(($B$2:$B$151=TRUE())*ISNUMBER(PriceMetrics!$K$2:$K$151)))))+IF(ISNUMBER(PriceMetrics!L137),10*PriceMetrics!L137,0)))</f>
        <v>50</v>
      </c>
      <c r="I137" s="5" t="n">
        <f aca="false">0.6*IF(NOT(ISNUMBER(PriceMetrics!P137)),50,100*(SUMPRODUCT(($B$2:$B$151=TRUE())*ISNUMBER(PriceMetrics!$P$2:$P$151)*(PriceMetrics!$P$2:$P$151&lt;PriceMetrics!P137))/MAX(1,SUMPRODUCT(($B$2:$B$151=TRUE())*ISNUMBER(PriceMetrics!$P$2:$P$151)))))+0.4*IF(NOT(ISNUMBER(PriceMetrics!H137)),50,IF(PriceMetrics!H137&gt;70,40,IF(PriceMetrics!H137&gt;=50,100,IF(PriceMetrics!H137&gt;=35,60,30))))</f>
        <v>50</v>
      </c>
      <c r="J137" s="5" t="n">
        <f aca="false">AVERAGE(IF(NOT(ISNUMBER(PriceMetrics!F137)),50,100*(1-(SUMPRODUCT(($B$2:$B$151=TRUE())*ISNUMBER(PriceMetrics!$F$2:$F$151)*(PriceMetrics!$F$2:$F$151&lt;PriceMetrics!F137))/MAX(1,SUMPRODUCT(($B$2:$B$151=TRUE())*ISNUMBER(PriceMetrics!$F$2:$F$151)))))),IF(NOT(ISNUMBER(PriceMetrics!G137)),50,100*(1-(SUMPRODUCT(($B$2:$B$151=TRUE())*ISNUMBER(PriceMetrics!$G$2:$G$151)*(ABS(PriceMetrics!$G$2:$G$151)&lt;ABS(PriceMetrics!G137)))/MAX(1,SUMPRODUCT(($B$2:$B$151=TRUE())*ISNUMBER(PriceMetrics!$G$2:$G$151)))))))</f>
        <v>50</v>
      </c>
      <c r="K137" s="5" t="n">
        <f aca="false">AVERAGE(H137:J137)</f>
        <v>50</v>
      </c>
      <c r="L137" s="8" t="n">
        <f aca="false">Macro!$B$26</f>
        <v>53.5</v>
      </c>
      <c r="M137" s="5" t="n">
        <f aca="false">Control!$B$3*100*G137/100+Control!$B$4*K137+Control!$B$5*L137</f>
        <v>50.7</v>
      </c>
      <c r="N137" s="3" t="n">
        <f aca="false">M137+ROW()/1000000</f>
        <v>50.700137</v>
      </c>
      <c r="O137" s="5" t="n">
        <f aca="false">M137-IF(AND(Tickers!D137="SMALLCAP100",Macro!$B$26&lt;40),Control!$B$11,0)</f>
        <v>50.7</v>
      </c>
      <c r="P137" s="3" t="str">
        <f aca="false">IF(B137=FALSE(),"-",IF(O137&gt;=Control!$B$7,"BUY",IF(O137&gt;=Control!$B$8,"ACCUMULATE",IF(O137&gt;=Control!$B$9,"HOLD","AVOID"))))</f>
        <v>-</v>
      </c>
      <c r="Q137" s="3" t="str">
        <f aca="false">IF(B137=FALSE(),"",IF(OR(O137&gt;=72,O137&lt;=32),"High",IF(OR(O137&gt;=62,O137&lt;=42),"Medium","Low")))</f>
        <v/>
      </c>
      <c r="R137" s="12" t="n">
        <f aca="false">IF(P137="BUY",Control!$B$12,IF(P137="ACCUMULATE",Control!$B$13,0))</f>
        <v>0</v>
      </c>
      <c r="S137" s="3" t="str">
        <f aca="false">IF(B137=FALSE(),"",IF(T137=C137,"Rich valuation",IF(T137=E137,"Weak growth",IF(T137=F137,"Balance-sheet leverage",IF(T137=I137,"Negative momentum","High volatility/drawdown")))))</f>
        <v/>
      </c>
      <c r="T137" s="3" t="n">
        <f aca="false">MIN(C137,E137,F137,I137,J137)</f>
        <v>50</v>
      </c>
      <c r="U137" s="3" t="n">
        <f aca="false">IF(B137=TRUE(),N137,-1000+ROW()/1000000)</f>
        <v>-999.999863</v>
      </c>
    </row>
    <row r="138" customFormat="false" ht="15" hidden="false" customHeight="false" outlineLevel="0" collapsed="false">
      <c r="A138" s="7" t="str">
        <f aca="false">Tickers!A138</f>
        <v>SONACOMS</v>
      </c>
      <c r="B138" s="19" t="b">
        <f aca="false">Tickers!F138</f>
        <v>0</v>
      </c>
      <c r="C138" s="5" t="n">
        <f aca="false">AVERAGE(IF(NOT(ISNUMBER(Fundamentals!C138)),50,IF(Fundamentals!C138&lt;=0,15,100*(1-(SUMPRODUCT(($B$2:$B$151=TRUE())*ISNUMBER(Fundamentals!$C$2:$C$151)*(Fundamentals!$C$2:$C$151&gt;0)*(Fundamentals!$C$2:$C$151&lt;Fundamentals!C138))/MAX(1,SUMPRODUCT(($B$2:$B$151=TRUE())*ISNUMBER(Fundamentals!$C$2:$C$151)*(Fundamentals!$C$2:$C$151&gt;0))))))),IF(NOT(ISNUMBER(Fundamentals!E138)),50,IF(Fundamentals!E138&lt;=0,15,100*(1-(SUMPRODUCT(($B$2:$B$151=TRUE())*ISNUMBER(Fundamentals!$E$2:$E$151)*(Fundamentals!$E$2:$E$151&gt;0)*(Fundamentals!$E$2:$E$151&lt;Fundamentals!E138))/MAX(1,SUMPRODUCT(($B$2:$B$151=TRUE())*ISNUMBER(Fundamentals!$E$2:$E$151)*(Fundamentals!$E$2:$E$151&gt;0))))))))</f>
        <v>50</v>
      </c>
      <c r="D138" s="5" t="n">
        <f aca="false">AVERAGE(IF(NOT(ISNUMBER(Fundamentals!F138)),50,100*(SUMPRODUCT(($B$2:$B$151=TRUE())*ISNUMBER(Fundamentals!$F$2:$F$151)*(Fundamentals!$F$2:$F$151&lt;Fundamentals!F138))/MAX(1,SUMPRODUCT(($B$2:$B$151=TRUE())*ISNUMBER(Fundamentals!$F$2:$F$151))))),IF(NOT(ISNUMBER(Fundamentals!J138)),50,100*(SUMPRODUCT(($B$2:$B$151=TRUE())*ISNUMBER(Fundamentals!$J$2:$J$151)*(Fundamentals!$J$2:$J$151&lt;Fundamentals!J138))/MAX(1,SUMPRODUCT(($B$2:$B$151=TRUE())*ISNUMBER(Fundamentals!$J$2:$J$151))))))</f>
        <v>50</v>
      </c>
      <c r="E138" s="5" t="n">
        <f aca="false">AVERAGE(IF(NOT(ISNUMBER(Fundamentals!H138)),50,100*(SUMPRODUCT(($B$2:$B$151=TRUE())*ISNUMBER(Fundamentals!$H$2:$H$151)*(Fundamentals!$H$2:$H$151&lt;Fundamentals!H138))/MAX(1,SUMPRODUCT(($B$2:$B$151=TRUE())*ISNUMBER(Fundamentals!$H$2:$H$151))))),IF(NOT(ISNUMBER(Fundamentals!I138)),50,100*(SUMPRODUCT(($B$2:$B$151=TRUE())*ISNUMBER(Fundamentals!$I$2:$I$151)*(Fundamentals!$I$2:$I$151&lt;Fundamentals!I138))/MAX(1,SUMPRODUCT(($B$2:$B$151=TRUE())*ISNUMBER(Fundamentals!$I$2:$I$151))))))</f>
        <v>50</v>
      </c>
      <c r="F138" s="5" t="n">
        <f aca="false">IF(Tickers!C138="Financial Services",50,IF(NOT(ISNUMBER(Fundamentals!G138)),50,100*(1-(SUMPRODUCT(($B$2:$B$151=TRUE())*ISNUMBER(Fundamentals!$G$2:$G$151)*(Fundamentals!$G$2:$G$151&lt;Fundamentals!G138))/MAX(1,SUMPRODUCT(($B$2:$B$151=TRUE())*ISNUMBER(Fundamentals!$G$2:$G$151)))))))</f>
        <v>50</v>
      </c>
      <c r="G138" s="5" t="n">
        <f aca="false">AVERAGE(C138:F138)</f>
        <v>50</v>
      </c>
      <c r="H138" s="5" t="n">
        <f aca="false">MIN(100,MAX(0,IF(NOT(ISNUMBER(PriceMetrics!K138)),50,100*(SUMPRODUCT(($B$2:$B$151=TRUE())*ISNUMBER(PriceMetrics!$K$2:$K$151)*(PriceMetrics!$K$2:$K$151&lt;PriceMetrics!K138))/MAX(1,SUMPRODUCT(($B$2:$B$151=TRUE())*ISNUMBER(PriceMetrics!$K$2:$K$151)))))+IF(ISNUMBER(PriceMetrics!L138),10*PriceMetrics!L138,0)))</f>
        <v>50</v>
      </c>
      <c r="I138" s="5" t="n">
        <f aca="false">0.6*IF(NOT(ISNUMBER(PriceMetrics!P138)),50,100*(SUMPRODUCT(($B$2:$B$151=TRUE())*ISNUMBER(PriceMetrics!$P$2:$P$151)*(PriceMetrics!$P$2:$P$151&lt;PriceMetrics!P138))/MAX(1,SUMPRODUCT(($B$2:$B$151=TRUE())*ISNUMBER(PriceMetrics!$P$2:$P$151)))))+0.4*IF(NOT(ISNUMBER(PriceMetrics!H138)),50,IF(PriceMetrics!H138&gt;70,40,IF(PriceMetrics!H138&gt;=50,100,IF(PriceMetrics!H138&gt;=35,60,30))))</f>
        <v>50</v>
      </c>
      <c r="J138" s="5" t="n">
        <f aca="false">AVERAGE(IF(NOT(ISNUMBER(PriceMetrics!F138)),50,100*(1-(SUMPRODUCT(($B$2:$B$151=TRUE())*ISNUMBER(PriceMetrics!$F$2:$F$151)*(PriceMetrics!$F$2:$F$151&lt;PriceMetrics!F138))/MAX(1,SUMPRODUCT(($B$2:$B$151=TRUE())*ISNUMBER(PriceMetrics!$F$2:$F$151)))))),IF(NOT(ISNUMBER(PriceMetrics!G138)),50,100*(1-(SUMPRODUCT(($B$2:$B$151=TRUE())*ISNUMBER(PriceMetrics!$G$2:$G$151)*(ABS(PriceMetrics!$G$2:$G$151)&lt;ABS(PriceMetrics!G138)))/MAX(1,SUMPRODUCT(($B$2:$B$151=TRUE())*ISNUMBER(PriceMetrics!$G$2:$G$151)))))))</f>
        <v>50</v>
      </c>
      <c r="K138" s="5" t="n">
        <f aca="false">AVERAGE(H138:J138)</f>
        <v>50</v>
      </c>
      <c r="L138" s="8" t="n">
        <f aca="false">Macro!$B$26</f>
        <v>53.5</v>
      </c>
      <c r="M138" s="5" t="n">
        <f aca="false">Control!$B$3*100*G138/100+Control!$B$4*K138+Control!$B$5*L138</f>
        <v>50.7</v>
      </c>
      <c r="N138" s="3" t="n">
        <f aca="false">M138+ROW()/1000000</f>
        <v>50.700138</v>
      </c>
      <c r="O138" s="5" t="n">
        <f aca="false">M138-IF(AND(Tickers!D138="SMALLCAP100",Macro!$B$26&lt;40),Control!$B$11,0)</f>
        <v>50.7</v>
      </c>
      <c r="P138" s="3" t="str">
        <f aca="false">IF(B138=FALSE(),"-",IF(O138&gt;=Control!$B$7,"BUY",IF(O138&gt;=Control!$B$8,"ACCUMULATE",IF(O138&gt;=Control!$B$9,"HOLD","AVOID"))))</f>
        <v>-</v>
      </c>
      <c r="Q138" s="3" t="str">
        <f aca="false">IF(B138=FALSE(),"",IF(OR(O138&gt;=72,O138&lt;=32),"High",IF(OR(O138&gt;=62,O138&lt;=42),"Medium","Low")))</f>
        <v/>
      </c>
      <c r="R138" s="12" t="n">
        <f aca="false">IF(P138="BUY",Control!$B$12,IF(P138="ACCUMULATE",Control!$B$13,0))</f>
        <v>0</v>
      </c>
      <c r="S138" s="3" t="str">
        <f aca="false">IF(B138=FALSE(),"",IF(T138=C138,"Rich valuation",IF(T138=E138,"Weak growth",IF(T138=F138,"Balance-sheet leverage",IF(T138=I138,"Negative momentum","High volatility/drawdown")))))</f>
        <v/>
      </c>
      <c r="T138" s="3" t="n">
        <f aca="false">MIN(C138,E138,F138,I138,J138)</f>
        <v>50</v>
      </c>
      <c r="U138" s="3" t="n">
        <f aca="false">IF(B138=TRUE(),N138,-1000+ROW()/1000000)</f>
        <v>-999.999862</v>
      </c>
    </row>
    <row r="139" customFormat="false" ht="15" hidden="false" customHeight="false" outlineLevel="0" collapsed="false">
      <c r="A139" s="7" t="str">
        <f aca="false">Tickers!A139</f>
        <v>STARHEALTH</v>
      </c>
      <c r="B139" s="19" t="b">
        <f aca="false">Tickers!F139</f>
        <v>0</v>
      </c>
      <c r="C139" s="5" t="n">
        <f aca="false">AVERAGE(IF(NOT(ISNUMBER(Fundamentals!C139)),50,IF(Fundamentals!C139&lt;=0,15,100*(1-(SUMPRODUCT(($B$2:$B$151=TRUE())*ISNUMBER(Fundamentals!$C$2:$C$151)*(Fundamentals!$C$2:$C$151&gt;0)*(Fundamentals!$C$2:$C$151&lt;Fundamentals!C139))/MAX(1,SUMPRODUCT(($B$2:$B$151=TRUE())*ISNUMBER(Fundamentals!$C$2:$C$151)*(Fundamentals!$C$2:$C$151&gt;0))))))),IF(NOT(ISNUMBER(Fundamentals!E139)),50,IF(Fundamentals!E139&lt;=0,15,100*(1-(SUMPRODUCT(($B$2:$B$151=TRUE())*ISNUMBER(Fundamentals!$E$2:$E$151)*(Fundamentals!$E$2:$E$151&gt;0)*(Fundamentals!$E$2:$E$151&lt;Fundamentals!E139))/MAX(1,SUMPRODUCT(($B$2:$B$151=TRUE())*ISNUMBER(Fundamentals!$E$2:$E$151)*(Fundamentals!$E$2:$E$151&gt;0))))))))</f>
        <v>50</v>
      </c>
      <c r="D139" s="5" t="n">
        <f aca="false">AVERAGE(IF(NOT(ISNUMBER(Fundamentals!F139)),50,100*(SUMPRODUCT(($B$2:$B$151=TRUE())*ISNUMBER(Fundamentals!$F$2:$F$151)*(Fundamentals!$F$2:$F$151&lt;Fundamentals!F139))/MAX(1,SUMPRODUCT(($B$2:$B$151=TRUE())*ISNUMBER(Fundamentals!$F$2:$F$151))))),IF(NOT(ISNUMBER(Fundamentals!J139)),50,100*(SUMPRODUCT(($B$2:$B$151=TRUE())*ISNUMBER(Fundamentals!$J$2:$J$151)*(Fundamentals!$J$2:$J$151&lt;Fundamentals!J139))/MAX(1,SUMPRODUCT(($B$2:$B$151=TRUE())*ISNUMBER(Fundamentals!$J$2:$J$151))))))</f>
        <v>50</v>
      </c>
      <c r="E139" s="5" t="n">
        <f aca="false">AVERAGE(IF(NOT(ISNUMBER(Fundamentals!H139)),50,100*(SUMPRODUCT(($B$2:$B$151=TRUE())*ISNUMBER(Fundamentals!$H$2:$H$151)*(Fundamentals!$H$2:$H$151&lt;Fundamentals!H139))/MAX(1,SUMPRODUCT(($B$2:$B$151=TRUE())*ISNUMBER(Fundamentals!$H$2:$H$151))))),IF(NOT(ISNUMBER(Fundamentals!I139)),50,100*(SUMPRODUCT(($B$2:$B$151=TRUE())*ISNUMBER(Fundamentals!$I$2:$I$151)*(Fundamentals!$I$2:$I$151&lt;Fundamentals!I139))/MAX(1,SUMPRODUCT(($B$2:$B$151=TRUE())*ISNUMBER(Fundamentals!$I$2:$I$151))))))</f>
        <v>50</v>
      </c>
      <c r="F139" s="5" t="n">
        <f aca="false">IF(Tickers!C139="Financial Services",50,IF(NOT(ISNUMBER(Fundamentals!G139)),50,100*(1-(SUMPRODUCT(($B$2:$B$151=TRUE())*ISNUMBER(Fundamentals!$G$2:$G$151)*(Fundamentals!$G$2:$G$151&lt;Fundamentals!G139))/MAX(1,SUMPRODUCT(($B$2:$B$151=TRUE())*ISNUMBER(Fundamentals!$G$2:$G$151)))))))</f>
        <v>50</v>
      </c>
      <c r="G139" s="5" t="n">
        <f aca="false">AVERAGE(C139:F139)</f>
        <v>50</v>
      </c>
      <c r="H139" s="5" t="n">
        <f aca="false">MIN(100,MAX(0,IF(NOT(ISNUMBER(PriceMetrics!K139)),50,100*(SUMPRODUCT(($B$2:$B$151=TRUE())*ISNUMBER(PriceMetrics!$K$2:$K$151)*(PriceMetrics!$K$2:$K$151&lt;PriceMetrics!K139))/MAX(1,SUMPRODUCT(($B$2:$B$151=TRUE())*ISNUMBER(PriceMetrics!$K$2:$K$151)))))+IF(ISNUMBER(PriceMetrics!L139),10*PriceMetrics!L139,0)))</f>
        <v>50</v>
      </c>
      <c r="I139" s="5" t="n">
        <f aca="false">0.6*IF(NOT(ISNUMBER(PriceMetrics!P139)),50,100*(SUMPRODUCT(($B$2:$B$151=TRUE())*ISNUMBER(PriceMetrics!$P$2:$P$151)*(PriceMetrics!$P$2:$P$151&lt;PriceMetrics!P139))/MAX(1,SUMPRODUCT(($B$2:$B$151=TRUE())*ISNUMBER(PriceMetrics!$P$2:$P$151)))))+0.4*IF(NOT(ISNUMBER(PriceMetrics!H139)),50,IF(PriceMetrics!H139&gt;70,40,IF(PriceMetrics!H139&gt;=50,100,IF(PriceMetrics!H139&gt;=35,60,30))))</f>
        <v>50</v>
      </c>
      <c r="J139" s="5" t="n">
        <f aca="false">AVERAGE(IF(NOT(ISNUMBER(PriceMetrics!F139)),50,100*(1-(SUMPRODUCT(($B$2:$B$151=TRUE())*ISNUMBER(PriceMetrics!$F$2:$F$151)*(PriceMetrics!$F$2:$F$151&lt;PriceMetrics!F139))/MAX(1,SUMPRODUCT(($B$2:$B$151=TRUE())*ISNUMBER(PriceMetrics!$F$2:$F$151)))))),IF(NOT(ISNUMBER(PriceMetrics!G139)),50,100*(1-(SUMPRODUCT(($B$2:$B$151=TRUE())*ISNUMBER(PriceMetrics!$G$2:$G$151)*(ABS(PriceMetrics!$G$2:$G$151)&lt;ABS(PriceMetrics!G139)))/MAX(1,SUMPRODUCT(($B$2:$B$151=TRUE())*ISNUMBER(PriceMetrics!$G$2:$G$151)))))))</f>
        <v>50</v>
      </c>
      <c r="K139" s="5" t="n">
        <f aca="false">AVERAGE(H139:J139)</f>
        <v>50</v>
      </c>
      <c r="L139" s="8" t="n">
        <f aca="false">Macro!$B$26</f>
        <v>53.5</v>
      </c>
      <c r="M139" s="5" t="n">
        <f aca="false">Control!$B$3*100*G139/100+Control!$B$4*K139+Control!$B$5*L139</f>
        <v>50.7</v>
      </c>
      <c r="N139" s="3" t="n">
        <f aca="false">M139+ROW()/1000000</f>
        <v>50.700139</v>
      </c>
      <c r="O139" s="5" t="n">
        <f aca="false">M139-IF(AND(Tickers!D139="SMALLCAP100",Macro!$B$26&lt;40),Control!$B$11,0)</f>
        <v>50.7</v>
      </c>
      <c r="P139" s="3" t="str">
        <f aca="false">IF(B139=FALSE(),"-",IF(O139&gt;=Control!$B$7,"BUY",IF(O139&gt;=Control!$B$8,"ACCUMULATE",IF(O139&gt;=Control!$B$9,"HOLD","AVOID"))))</f>
        <v>-</v>
      </c>
      <c r="Q139" s="3" t="str">
        <f aca="false">IF(B139=FALSE(),"",IF(OR(O139&gt;=72,O139&lt;=32),"High",IF(OR(O139&gt;=62,O139&lt;=42),"Medium","Low")))</f>
        <v/>
      </c>
      <c r="R139" s="12" t="n">
        <f aca="false">IF(P139="BUY",Control!$B$12,IF(P139="ACCUMULATE",Control!$B$13,0))</f>
        <v>0</v>
      </c>
      <c r="S139" s="3" t="str">
        <f aca="false">IF(B139=FALSE(),"",IF(T139=C139,"Rich valuation",IF(T139=E139,"Weak growth",IF(T139=F139,"Balance-sheet leverage",IF(T139=I139,"Negative momentum","High volatility/drawdown")))))</f>
        <v/>
      </c>
      <c r="T139" s="3" t="n">
        <f aca="false">MIN(C139,E139,F139,I139,J139)</f>
        <v>50</v>
      </c>
      <c r="U139" s="3" t="n">
        <f aca="false">IF(B139=TRUE(),N139,-1000+ROW()/1000000)</f>
        <v>-999.999861</v>
      </c>
    </row>
    <row r="140" customFormat="false" ht="15" hidden="false" customHeight="false" outlineLevel="0" collapsed="false">
      <c r="A140" s="7" t="str">
        <f aca="false">Tickers!A140</f>
        <v>SWANCORP</v>
      </c>
      <c r="B140" s="19" t="b">
        <f aca="false">Tickers!F140</f>
        <v>0</v>
      </c>
      <c r="C140" s="5" t="n">
        <f aca="false">AVERAGE(IF(NOT(ISNUMBER(Fundamentals!C140)),50,IF(Fundamentals!C140&lt;=0,15,100*(1-(SUMPRODUCT(($B$2:$B$151=TRUE())*ISNUMBER(Fundamentals!$C$2:$C$151)*(Fundamentals!$C$2:$C$151&gt;0)*(Fundamentals!$C$2:$C$151&lt;Fundamentals!C140))/MAX(1,SUMPRODUCT(($B$2:$B$151=TRUE())*ISNUMBER(Fundamentals!$C$2:$C$151)*(Fundamentals!$C$2:$C$151&gt;0))))))),IF(NOT(ISNUMBER(Fundamentals!E140)),50,IF(Fundamentals!E140&lt;=0,15,100*(1-(SUMPRODUCT(($B$2:$B$151=TRUE())*ISNUMBER(Fundamentals!$E$2:$E$151)*(Fundamentals!$E$2:$E$151&gt;0)*(Fundamentals!$E$2:$E$151&lt;Fundamentals!E140))/MAX(1,SUMPRODUCT(($B$2:$B$151=TRUE())*ISNUMBER(Fundamentals!$E$2:$E$151)*(Fundamentals!$E$2:$E$151&gt;0))))))))</f>
        <v>50</v>
      </c>
      <c r="D140" s="5" t="n">
        <f aca="false">AVERAGE(IF(NOT(ISNUMBER(Fundamentals!F140)),50,100*(SUMPRODUCT(($B$2:$B$151=TRUE())*ISNUMBER(Fundamentals!$F$2:$F$151)*(Fundamentals!$F$2:$F$151&lt;Fundamentals!F140))/MAX(1,SUMPRODUCT(($B$2:$B$151=TRUE())*ISNUMBER(Fundamentals!$F$2:$F$151))))),IF(NOT(ISNUMBER(Fundamentals!J140)),50,100*(SUMPRODUCT(($B$2:$B$151=TRUE())*ISNUMBER(Fundamentals!$J$2:$J$151)*(Fundamentals!$J$2:$J$151&lt;Fundamentals!J140))/MAX(1,SUMPRODUCT(($B$2:$B$151=TRUE())*ISNUMBER(Fundamentals!$J$2:$J$151))))))</f>
        <v>50</v>
      </c>
      <c r="E140" s="5" t="n">
        <f aca="false">AVERAGE(IF(NOT(ISNUMBER(Fundamentals!H140)),50,100*(SUMPRODUCT(($B$2:$B$151=TRUE())*ISNUMBER(Fundamentals!$H$2:$H$151)*(Fundamentals!$H$2:$H$151&lt;Fundamentals!H140))/MAX(1,SUMPRODUCT(($B$2:$B$151=TRUE())*ISNUMBER(Fundamentals!$H$2:$H$151))))),IF(NOT(ISNUMBER(Fundamentals!I140)),50,100*(SUMPRODUCT(($B$2:$B$151=TRUE())*ISNUMBER(Fundamentals!$I$2:$I$151)*(Fundamentals!$I$2:$I$151&lt;Fundamentals!I140))/MAX(1,SUMPRODUCT(($B$2:$B$151=TRUE())*ISNUMBER(Fundamentals!$I$2:$I$151))))))</f>
        <v>50</v>
      </c>
      <c r="F140" s="5" t="n">
        <f aca="false">IF(Tickers!C140="Financial Services",50,IF(NOT(ISNUMBER(Fundamentals!G140)),50,100*(1-(SUMPRODUCT(($B$2:$B$151=TRUE())*ISNUMBER(Fundamentals!$G$2:$G$151)*(Fundamentals!$G$2:$G$151&lt;Fundamentals!G140))/MAX(1,SUMPRODUCT(($B$2:$B$151=TRUE())*ISNUMBER(Fundamentals!$G$2:$G$151)))))))</f>
        <v>50</v>
      </c>
      <c r="G140" s="5" t="n">
        <f aca="false">AVERAGE(C140:F140)</f>
        <v>50</v>
      </c>
      <c r="H140" s="5" t="n">
        <f aca="false">MIN(100,MAX(0,IF(NOT(ISNUMBER(PriceMetrics!K140)),50,100*(SUMPRODUCT(($B$2:$B$151=TRUE())*ISNUMBER(PriceMetrics!$K$2:$K$151)*(PriceMetrics!$K$2:$K$151&lt;PriceMetrics!K140))/MAX(1,SUMPRODUCT(($B$2:$B$151=TRUE())*ISNUMBER(PriceMetrics!$K$2:$K$151)))))+IF(ISNUMBER(PriceMetrics!L140),10*PriceMetrics!L140,0)))</f>
        <v>50</v>
      </c>
      <c r="I140" s="5" t="n">
        <f aca="false">0.6*IF(NOT(ISNUMBER(PriceMetrics!P140)),50,100*(SUMPRODUCT(($B$2:$B$151=TRUE())*ISNUMBER(PriceMetrics!$P$2:$P$151)*(PriceMetrics!$P$2:$P$151&lt;PriceMetrics!P140))/MAX(1,SUMPRODUCT(($B$2:$B$151=TRUE())*ISNUMBER(PriceMetrics!$P$2:$P$151)))))+0.4*IF(NOT(ISNUMBER(PriceMetrics!H140)),50,IF(PriceMetrics!H140&gt;70,40,IF(PriceMetrics!H140&gt;=50,100,IF(PriceMetrics!H140&gt;=35,60,30))))</f>
        <v>50</v>
      </c>
      <c r="J140" s="5" t="n">
        <f aca="false">AVERAGE(IF(NOT(ISNUMBER(PriceMetrics!F140)),50,100*(1-(SUMPRODUCT(($B$2:$B$151=TRUE())*ISNUMBER(PriceMetrics!$F$2:$F$151)*(PriceMetrics!$F$2:$F$151&lt;PriceMetrics!F140))/MAX(1,SUMPRODUCT(($B$2:$B$151=TRUE())*ISNUMBER(PriceMetrics!$F$2:$F$151)))))),IF(NOT(ISNUMBER(PriceMetrics!G140)),50,100*(1-(SUMPRODUCT(($B$2:$B$151=TRUE())*ISNUMBER(PriceMetrics!$G$2:$G$151)*(ABS(PriceMetrics!$G$2:$G$151)&lt;ABS(PriceMetrics!G140)))/MAX(1,SUMPRODUCT(($B$2:$B$151=TRUE())*ISNUMBER(PriceMetrics!$G$2:$G$151)))))))</f>
        <v>50</v>
      </c>
      <c r="K140" s="5" t="n">
        <f aca="false">AVERAGE(H140:J140)</f>
        <v>50</v>
      </c>
      <c r="L140" s="8" t="n">
        <f aca="false">Macro!$B$26</f>
        <v>53.5</v>
      </c>
      <c r="M140" s="5" t="n">
        <f aca="false">Control!$B$3*100*G140/100+Control!$B$4*K140+Control!$B$5*L140</f>
        <v>50.7</v>
      </c>
      <c r="N140" s="3" t="n">
        <f aca="false">M140+ROW()/1000000</f>
        <v>50.70014</v>
      </c>
      <c r="O140" s="5" t="n">
        <f aca="false">M140-IF(AND(Tickers!D140="SMALLCAP100",Macro!$B$26&lt;40),Control!$B$11,0)</f>
        <v>50.7</v>
      </c>
      <c r="P140" s="3" t="str">
        <f aca="false">IF(B140=FALSE(),"-",IF(O140&gt;=Control!$B$7,"BUY",IF(O140&gt;=Control!$B$8,"ACCUMULATE",IF(O140&gt;=Control!$B$9,"HOLD","AVOID"))))</f>
        <v>-</v>
      </c>
      <c r="Q140" s="3" t="str">
        <f aca="false">IF(B140=FALSE(),"",IF(OR(O140&gt;=72,O140&lt;=32),"High",IF(OR(O140&gt;=62,O140&lt;=42),"Medium","Low")))</f>
        <v/>
      </c>
      <c r="R140" s="12" t="n">
        <f aca="false">IF(P140="BUY",Control!$B$12,IF(P140="ACCUMULATE",Control!$B$13,0))</f>
        <v>0</v>
      </c>
      <c r="S140" s="3" t="str">
        <f aca="false">IF(B140=FALSE(),"",IF(T140=C140,"Rich valuation",IF(T140=E140,"Weak growth",IF(T140=F140,"Balance-sheet leverage",IF(T140=I140,"Negative momentum","High volatility/drawdown")))))</f>
        <v/>
      </c>
      <c r="T140" s="3" t="n">
        <f aca="false">MIN(C140,E140,F140,I140,J140)</f>
        <v>50</v>
      </c>
      <c r="U140" s="3" t="n">
        <f aca="false">IF(B140=TRUE(),N140,-1000+ROW()/1000000)</f>
        <v>-999.99986</v>
      </c>
    </row>
    <row r="141" customFormat="false" ht="15" hidden="false" customHeight="false" outlineLevel="0" collapsed="false">
      <c r="A141" s="7" t="str">
        <f aca="false">Tickers!A141</f>
        <v>SYNGENE</v>
      </c>
      <c r="B141" s="19" t="b">
        <f aca="false">Tickers!F141</f>
        <v>0</v>
      </c>
      <c r="C141" s="5" t="n">
        <f aca="false">AVERAGE(IF(NOT(ISNUMBER(Fundamentals!C141)),50,IF(Fundamentals!C141&lt;=0,15,100*(1-(SUMPRODUCT(($B$2:$B$151=TRUE())*ISNUMBER(Fundamentals!$C$2:$C$151)*(Fundamentals!$C$2:$C$151&gt;0)*(Fundamentals!$C$2:$C$151&lt;Fundamentals!C141))/MAX(1,SUMPRODUCT(($B$2:$B$151=TRUE())*ISNUMBER(Fundamentals!$C$2:$C$151)*(Fundamentals!$C$2:$C$151&gt;0))))))),IF(NOT(ISNUMBER(Fundamentals!E141)),50,IF(Fundamentals!E141&lt;=0,15,100*(1-(SUMPRODUCT(($B$2:$B$151=TRUE())*ISNUMBER(Fundamentals!$E$2:$E$151)*(Fundamentals!$E$2:$E$151&gt;0)*(Fundamentals!$E$2:$E$151&lt;Fundamentals!E141))/MAX(1,SUMPRODUCT(($B$2:$B$151=TRUE())*ISNUMBER(Fundamentals!$E$2:$E$151)*(Fundamentals!$E$2:$E$151&gt;0))))))))</f>
        <v>50</v>
      </c>
      <c r="D141" s="5" t="n">
        <f aca="false">AVERAGE(IF(NOT(ISNUMBER(Fundamentals!F141)),50,100*(SUMPRODUCT(($B$2:$B$151=TRUE())*ISNUMBER(Fundamentals!$F$2:$F$151)*(Fundamentals!$F$2:$F$151&lt;Fundamentals!F141))/MAX(1,SUMPRODUCT(($B$2:$B$151=TRUE())*ISNUMBER(Fundamentals!$F$2:$F$151))))),IF(NOT(ISNUMBER(Fundamentals!J141)),50,100*(SUMPRODUCT(($B$2:$B$151=TRUE())*ISNUMBER(Fundamentals!$J$2:$J$151)*(Fundamentals!$J$2:$J$151&lt;Fundamentals!J141))/MAX(1,SUMPRODUCT(($B$2:$B$151=TRUE())*ISNUMBER(Fundamentals!$J$2:$J$151))))))</f>
        <v>50</v>
      </c>
      <c r="E141" s="5" t="n">
        <f aca="false">AVERAGE(IF(NOT(ISNUMBER(Fundamentals!H141)),50,100*(SUMPRODUCT(($B$2:$B$151=TRUE())*ISNUMBER(Fundamentals!$H$2:$H$151)*(Fundamentals!$H$2:$H$151&lt;Fundamentals!H141))/MAX(1,SUMPRODUCT(($B$2:$B$151=TRUE())*ISNUMBER(Fundamentals!$H$2:$H$151))))),IF(NOT(ISNUMBER(Fundamentals!I141)),50,100*(SUMPRODUCT(($B$2:$B$151=TRUE())*ISNUMBER(Fundamentals!$I$2:$I$151)*(Fundamentals!$I$2:$I$151&lt;Fundamentals!I141))/MAX(1,SUMPRODUCT(($B$2:$B$151=TRUE())*ISNUMBER(Fundamentals!$I$2:$I$151))))))</f>
        <v>50</v>
      </c>
      <c r="F141" s="5" t="n">
        <f aca="false">IF(Tickers!C141="Financial Services",50,IF(NOT(ISNUMBER(Fundamentals!G141)),50,100*(1-(SUMPRODUCT(($B$2:$B$151=TRUE())*ISNUMBER(Fundamentals!$G$2:$G$151)*(Fundamentals!$G$2:$G$151&lt;Fundamentals!G141))/MAX(1,SUMPRODUCT(($B$2:$B$151=TRUE())*ISNUMBER(Fundamentals!$G$2:$G$151)))))))</f>
        <v>50</v>
      </c>
      <c r="G141" s="5" t="n">
        <f aca="false">AVERAGE(C141:F141)</f>
        <v>50</v>
      </c>
      <c r="H141" s="5" t="n">
        <f aca="false">MIN(100,MAX(0,IF(NOT(ISNUMBER(PriceMetrics!K141)),50,100*(SUMPRODUCT(($B$2:$B$151=TRUE())*ISNUMBER(PriceMetrics!$K$2:$K$151)*(PriceMetrics!$K$2:$K$151&lt;PriceMetrics!K141))/MAX(1,SUMPRODUCT(($B$2:$B$151=TRUE())*ISNUMBER(PriceMetrics!$K$2:$K$151)))))+IF(ISNUMBER(PriceMetrics!L141),10*PriceMetrics!L141,0)))</f>
        <v>50</v>
      </c>
      <c r="I141" s="5" t="n">
        <f aca="false">0.6*IF(NOT(ISNUMBER(PriceMetrics!P141)),50,100*(SUMPRODUCT(($B$2:$B$151=TRUE())*ISNUMBER(PriceMetrics!$P$2:$P$151)*(PriceMetrics!$P$2:$P$151&lt;PriceMetrics!P141))/MAX(1,SUMPRODUCT(($B$2:$B$151=TRUE())*ISNUMBER(PriceMetrics!$P$2:$P$151)))))+0.4*IF(NOT(ISNUMBER(PriceMetrics!H141)),50,IF(PriceMetrics!H141&gt;70,40,IF(PriceMetrics!H141&gt;=50,100,IF(PriceMetrics!H141&gt;=35,60,30))))</f>
        <v>50</v>
      </c>
      <c r="J141" s="5" t="n">
        <f aca="false">AVERAGE(IF(NOT(ISNUMBER(PriceMetrics!F141)),50,100*(1-(SUMPRODUCT(($B$2:$B$151=TRUE())*ISNUMBER(PriceMetrics!$F$2:$F$151)*(PriceMetrics!$F$2:$F$151&lt;PriceMetrics!F141))/MAX(1,SUMPRODUCT(($B$2:$B$151=TRUE())*ISNUMBER(PriceMetrics!$F$2:$F$151)))))),IF(NOT(ISNUMBER(PriceMetrics!G141)),50,100*(1-(SUMPRODUCT(($B$2:$B$151=TRUE())*ISNUMBER(PriceMetrics!$G$2:$G$151)*(ABS(PriceMetrics!$G$2:$G$151)&lt;ABS(PriceMetrics!G141)))/MAX(1,SUMPRODUCT(($B$2:$B$151=TRUE())*ISNUMBER(PriceMetrics!$G$2:$G$151)))))))</f>
        <v>50</v>
      </c>
      <c r="K141" s="5" t="n">
        <f aca="false">AVERAGE(H141:J141)</f>
        <v>50</v>
      </c>
      <c r="L141" s="8" t="n">
        <f aca="false">Macro!$B$26</f>
        <v>53.5</v>
      </c>
      <c r="M141" s="5" t="n">
        <f aca="false">Control!$B$3*100*G141/100+Control!$B$4*K141+Control!$B$5*L141</f>
        <v>50.7</v>
      </c>
      <c r="N141" s="3" t="n">
        <f aca="false">M141+ROW()/1000000</f>
        <v>50.700141</v>
      </c>
      <c r="O141" s="5" t="n">
        <f aca="false">M141-IF(AND(Tickers!D141="SMALLCAP100",Macro!$B$26&lt;40),Control!$B$11,0)</f>
        <v>50.7</v>
      </c>
      <c r="P141" s="3" t="str">
        <f aca="false">IF(B141=FALSE(),"-",IF(O141&gt;=Control!$B$7,"BUY",IF(O141&gt;=Control!$B$8,"ACCUMULATE",IF(O141&gt;=Control!$B$9,"HOLD","AVOID"))))</f>
        <v>-</v>
      </c>
      <c r="Q141" s="3" t="str">
        <f aca="false">IF(B141=FALSE(),"",IF(OR(O141&gt;=72,O141&lt;=32),"High",IF(OR(O141&gt;=62,O141&lt;=42),"Medium","Low")))</f>
        <v/>
      </c>
      <c r="R141" s="12" t="n">
        <f aca="false">IF(P141="BUY",Control!$B$12,IF(P141="ACCUMULATE",Control!$B$13,0))</f>
        <v>0</v>
      </c>
      <c r="S141" s="3" t="str">
        <f aca="false">IF(B141=FALSE(),"",IF(T141=C141,"Rich valuation",IF(T141=E141,"Weak growth",IF(T141=F141,"Balance-sheet leverage",IF(T141=I141,"Negative momentum","High volatility/drawdown")))))</f>
        <v/>
      </c>
      <c r="T141" s="3" t="n">
        <f aca="false">MIN(C141,E141,F141,I141,J141)</f>
        <v>50</v>
      </c>
      <c r="U141" s="3" t="n">
        <f aca="false">IF(B141=TRUE(),N141,-1000+ROW()/1000000)</f>
        <v>-999.999859</v>
      </c>
    </row>
    <row r="142" customFormat="false" ht="15" hidden="false" customHeight="false" outlineLevel="0" collapsed="false">
      <c r="A142" s="7" t="str">
        <f aca="false">Tickers!A142</f>
        <v>TATACHEM</v>
      </c>
      <c r="B142" s="19" t="b">
        <f aca="false">Tickers!F142</f>
        <v>0</v>
      </c>
      <c r="C142" s="5" t="n">
        <f aca="false">AVERAGE(IF(NOT(ISNUMBER(Fundamentals!C142)),50,IF(Fundamentals!C142&lt;=0,15,100*(1-(SUMPRODUCT(($B$2:$B$151=TRUE())*ISNUMBER(Fundamentals!$C$2:$C$151)*(Fundamentals!$C$2:$C$151&gt;0)*(Fundamentals!$C$2:$C$151&lt;Fundamentals!C142))/MAX(1,SUMPRODUCT(($B$2:$B$151=TRUE())*ISNUMBER(Fundamentals!$C$2:$C$151)*(Fundamentals!$C$2:$C$151&gt;0))))))),IF(NOT(ISNUMBER(Fundamentals!E142)),50,IF(Fundamentals!E142&lt;=0,15,100*(1-(SUMPRODUCT(($B$2:$B$151=TRUE())*ISNUMBER(Fundamentals!$E$2:$E$151)*(Fundamentals!$E$2:$E$151&gt;0)*(Fundamentals!$E$2:$E$151&lt;Fundamentals!E142))/MAX(1,SUMPRODUCT(($B$2:$B$151=TRUE())*ISNUMBER(Fundamentals!$E$2:$E$151)*(Fundamentals!$E$2:$E$151&gt;0))))))))</f>
        <v>50</v>
      </c>
      <c r="D142" s="5" t="n">
        <f aca="false">AVERAGE(IF(NOT(ISNUMBER(Fundamentals!F142)),50,100*(SUMPRODUCT(($B$2:$B$151=TRUE())*ISNUMBER(Fundamentals!$F$2:$F$151)*(Fundamentals!$F$2:$F$151&lt;Fundamentals!F142))/MAX(1,SUMPRODUCT(($B$2:$B$151=TRUE())*ISNUMBER(Fundamentals!$F$2:$F$151))))),IF(NOT(ISNUMBER(Fundamentals!J142)),50,100*(SUMPRODUCT(($B$2:$B$151=TRUE())*ISNUMBER(Fundamentals!$J$2:$J$151)*(Fundamentals!$J$2:$J$151&lt;Fundamentals!J142))/MAX(1,SUMPRODUCT(($B$2:$B$151=TRUE())*ISNUMBER(Fundamentals!$J$2:$J$151))))))</f>
        <v>50</v>
      </c>
      <c r="E142" s="5" t="n">
        <f aca="false">AVERAGE(IF(NOT(ISNUMBER(Fundamentals!H142)),50,100*(SUMPRODUCT(($B$2:$B$151=TRUE())*ISNUMBER(Fundamentals!$H$2:$H$151)*(Fundamentals!$H$2:$H$151&lt;Fundamentals!H142))/MAX(1,SUMPRODUCT(($B$2:$B$151=TRUE())*ISNUMBER(Fundamentals!$H$2:$H$151))))),IF(NOT(ISNUMBER(Fundamentals!I142)),50,100*(SUMPRODUCT(($B$2:$B$151=TRUE())*ISNUMBER(Fundamentals!$I$2:$I$151)*(Fundamentals!$I$2:$I$151&lt;Fundamentals!I142))/MAX(1,SUMPRODUCT(($B$2:$B$151=TRUE())*ISNUMBER(Fundamentals!$I$2:$I$151))))))</f>
        <v>50</v>
      </c>
      <c r="F142" s="5" t="n">
        <f aca="false">IF(Tickers!C142="Financial Services",50,IF(NOT(ISNUMBER(Fundamentals!G142)),50,100*(1-(SUMPRODUCT(($B$2:$B$151=TRUE())*ISNUMBER(Fundamentals!$G$2:$G$151)*(Fundamentals!$G$2:$G$151&lt;Fundamentals!G142))/MAX(1,SUMPRODUCT(($B$2:$B$151=TRUE())*ISNUMBER(Fundamentals!$G$2:$G$151)))))))</f>
        <v>50</v>
      </c>
      <c r="G142" s="5" t="n">
        <f aca="false">AVERAGE(C142:F142)</f>
        <v>50</v>
      </c>
      <c r="H142" s="5" t="n">
        <f aca="false">MIN(100,MAX(0,IF(NOT(ISNUMBER(PriceMetrics!K142)),50,100*(SUMPRODUCT(($B$2:$B$151=TRUE())*ISNUMBER(PriceMetrics!$K$2:$K$151)*(PriceMetrics!$K$2:$K$151&lt;PriceMetrics!K142))/MAX(1,SUMPRODUCT(($B$2:$B$151=TRUE())*ISNUMBER(PriceMetrics!$K$2:$K$151)))))+IF(ISNUMBER(PriceMetrics!L142),10*PriceMetrics!L142,0)))</f>
        <v>50</v>
      </c>
      <c r="I142" s="5" t="n">
        <f aca="false">0.6*IF(NOT(ISNUMBER(PriceMetrics!P142)),50,100*(SUMPRODUCT(($B$2:$B$151=TRUE())*ISNUMBER(PriceMetrics!$P$2:$P$151)*(PriceMetrics!$P$2:$P$151&lt;PriceMetrics!P142))/MAX(1,SUMPRODUCT(($B$2:$B$151=TRUE())*ISNUMBER(PriceMetrics!$P$2:$P$151)))))+0.4*IF(NOT(ISNUMBER(PriceMetrics!H142)),50,IF(PriceMetrics!H142&gt;70,40,IF(PriceMetrics!H142&gt;=50,100,IF(PriceMetrics!H142&gt;=35,60,30))))</f>
        <v>50</v>
      </c>
      <c r="J142" s="5" t="n">
        <f aca="false">AVERAGE(IF(NOT(ISNUMBER(PriceMetrics!F142)),50,100*(1-(SUMPRODUCT(($B$2:$B$151=TRUE())*ISNUMBER(PriceMetrics!$F$2:$F$151)*(PriceMetrics!$F$2:$F$151&lt;PriceMetrics!F142))/MAX(1,SUMPRODUCT(($B$2:$B$151=TRUE())*ISNUMBER(PriceMetrics!$F$2:$F$151)))))),IF(NOT(ISNUMBER(PriceMetrics!G142)),50,100*(1-(SUMPRODUCT(($B$2:$B$151=TRUE())*ISNUMBER(PriceMetrics!$G$2:$G$151)*(ABS(PriceMetrics!$G$2:$G$151)&lt;ABS(PriceMetrics!G142)))/MAX(1,SUMPRODUCT(($B$2:$B$151=TRUE())*ISNUMBER(PriceMetrics!$G$2:$G$151)))))))</f>
        <v>50</v>
      </c>
      <c r="K142" s="5" t="n">
        <f aca="false">AVERAGE(H142:J142)</f>
        <v>50</v>
      </c>
      <c r="L142" s="8" t="n">
        <f aca="false">Macro!$B$26</f>
        <v>53.5</v>
      </c>
      <c r="M142" s="5" t="n">
        <f aca="false">Control!$B$3*100*G142/100+Control!$B$4*K142+Control!$B$5*L142</f>
        <v>50.7</v>
      </c>
      <c r="N142" s="3" t="n">
        <f aca="false">M142+ROW()/1000000</f>
        <v>50.700142</v>
      </c>
      <c r="O142" s="5" t="n">
        <f aca="false">M142-IF(AND(Tickers!D142="SMALLCAP100",Macro!$B$26&lt;40),Control!$B$11,0)</f>
        <v>50.7</v>
      </c>
      <c r="P142" s="3" t="str">
        <f aca="false">IF(B142=FALSE(),"-",IF(O142&gt;=Control!$B$7,"BUY",IF(O142&gt;=Control!$B$8,"ACCUMULATE",IF(O142&gt;=Control!$B$9,"HOLD","AVOID"))))</f>
        <v>-</v>
      </c>
      <c r="Q142" s="3" t="str">
        <f aca="false">IF(B142=FALSE(),"",IF(OR(O142&gt;=72,O142&lt;=32),"High",IF(OR(O142&gt;=62,O142&lt;=42),"Medium","Low")))</f>
        <v/>
      </c>
      <c r="R142" s="12" t="n">
        <f aca="false">IF(P142="BUY",Control!$B$12,IF(P142="ACCUMULATE",Control!$B$13,0))</f>
        <v>0</v>
      </c>
      <c r="S142" s="3" t="str">
        <f aca="false">IF(B142=FALSE(),"",IF(T142=C142,"Rich valuation",IF(T142=E142,"Weak growth",IF(T142=F142,"Balance-sheet leverage",IF(T142=I142,"Negative momentum","High volatility/drawdown")))))</f>
        <v/>
      </c>
      <c r="T142" s="3" t="n">
        <f aca="false">MIN(C142,E142,F142,I142,J142)</f>
        <v>50</v>
      </c>
      <c r="U142" s="3" t="n">
        <f aca="false">IF(B142=TRUE(),N142,-1000+ROW()/1000000)</f>
        <v>-999.999858</v>
      </c>
    </row>
    <row r="143" customFormat="false" ht="15" hidden="false" customHeight="false" outlineLevel="0" collapsed="false">
      <c r="A143" s="7" t="str">
        <f aca="false">Tickers!A143</f>
        <v>TATATECH</v>
      </c>
      <c r="B143" s="19" t="b">
        <f aca="false">Tickers!F143</f>
        <v>0</v>
      </c>
      <c r="C143" s="5" t="n">
        <f aca="false">AVERAGE(IF(NOT(ISNUMBER(Fundamentals!C143)),50,IF(Fundamentals!C143&lt;=0,15,100*(1-(SUMPRODUCT(($B$2:$B$151=TRUE())*ISNUMBER(Fundamentals!$C$2:$C$151)*(Fundamentals!$C$2:$C$151&gt;0)*(Fundamentals!$C$2:$C$151&lt;Fundamentals!C143))/MAX(1,SUMPRODUCT(($B$2:$B$151=TRUE())*ISNUMBER(Fundamentals!$C$2:$C$151)*(Fundamentals!$C$2:$C$151&gt;0))))))),IF(NOT(ISNUMBER(Fundamentals!E143)),50,IF(Fundamentals!E143&lt;=0,15,100*(1-(SUMPRODUCT(($B$2:$B$151=TRUE())*ISNUMBER(Fundamentals!$E$2:$E$151)*(Fundamentals!$E$2:$E$151&gt;0)*(Fundamentals!$E$2:$E$151&lt;Fundamentals!E143))/MAX(1,SUMPRODUCT(($B$2:$B$151=TRUE())*ISNUMBER(Fundamentals!$E$2:$E$151)*(Fundamentals!$E$2:$E$151&gt;0))))))))</f>
        <v>50</v>
      </c>
      <c r="D143" s="5" t="n">
        <f aca="false">AVERAGE(IF(NOT(ISNUMBER(Fundamentals!F143)),50,100*(SUMPRODUCT(($B$2:$B$151=TRUE())*ISNUMBER(Fundamentals!$F$2:$F$151)*(Fundamentals!$F$2:$F$151&lt;Fundamentals!F143))/MAX(1,SUMPRODUCT(($B$2:$B$151=TRUE())*ISNUMBER(Fundamentals!$F$2:$F$151))))),IF(NOT(ISNUMBER(Fundamentals!J143)),50,100*(SUMPRODUCT(($B$2:$B$151=TRUE())*ISNUMBER(Fundamentals!$J$2:$J$151)*(Fundamentals!$J$2:$J$151&lt;Fundamentals!J143))/MAX(1,SUMPRODUCT(($B$2:$B$151=TRUE())*ISNUMBER(Fundamentals!$J$2:$J$151))))))</f>
        <v>50</v>
      </c>
      <c r="E143" s="5" t="n">
        <f aca="false">AVERAGE(IF(NOT(ISNUMBER(Fundamentals!H143)),50,100*(SUMPRODUCT(($B$2:$B$151=TRUE())*ISNUMBER(Fundamentals!$H$2:$H$151)*(Fundamentals!$H$2:$H$151&lt;Fundamentals!H143))/MAX(1,SUMPRODUCT(($B$2:$B$151=TRUE())*ISNUMBER(Fundamentals!$H$2:$H$151))))),IF(NOT(ISNUMBER(Fundamentals!I143)),50,100*(SUMPRODUCT(($B$2:$B$151=TRUE())*ISNUMBER(Fundamentals!$I$2:$I$151)*(Fundamentals!$I$2:$I$151&lt;Fundamentals!I143))/MAX(1,SUMPRODUCT(($B$2:$B$151=TRUE())*ISNUMBER(Fundamentals!$I$2:$I$151))))))</f>
        <v>50</v>
      </c>
      <c r="F143" s="5" t="n">
        <f aca="false">IF(Tickers!C143="Financial Services",50,IF(NOT(ISNUMBER(Fundamentals!G143)),50,100*(1-(SUMPRODUCT(($B$2:$B$151=TRUE())*ISNUMBER(Fundamentals!$G$2:$G$151)*(Fundamentals!$G$2:$G$151&lt;Fundamentals!G143))/MAX(1,SUMPRODUCT(($B$2:$B$151=TRUE())*ISNUMBER(Fundamentals!$G$2:$G$151)))))))</f>
        <v>50</v>
      </c>
      <c r="G143" s="5" t="n">
        <f aca="false">AVERAGE(C143:F143)</f>
        <v>50</v>
      </c>
      <c r="H143" s="5" t="n">
        <f aca="false">MIN(100,MAX(0,IF(NOT(ISNUMBER(PriceMetrics!K143)),50,100*(SUMPRODUCT(($B$2:$B$151=TRUE())*ISNUMBER(PriceMetrics!$K$2:$K$151)*(PriceMetrics!$K$2:$K$151&lt;PriceMetrics!K143))/MAX(1,SUMPRODUCT(($B$2:$B$151=TRUE())*ISNUMBER(PriceMetrics!$K$2:$K$151)))))+IF(ISNUMBER(PriceMetrics!L143),10*PriceMetrics!L143,0)))</f>
        <v>50</v>
      </c>
      <c r="I143" s="5" t="n">
        <f aca="false">0.6*IF(NOT(ISNUMBER(PriceMetrics!P143)),50,100*(SUMPRODUCT(($B$2:$B$151=TRUE())*ISNUMBER(PriceMetrics!$P$2:$P$151)*(PriceMetrics!$P$2:$P$151&lt;PriceMetrics!P143))/MAX(1,SUMPRODUCT(($B$2:$B$151=TRUE())*ISNUMBER(PriceMetrics!$P$2:$P$151)))))+0.4*IF(NOT(ISNUMBER(PriceMetrics!H143)),50,IF(PriceMetrics!H143&gt;70,40,IF(PriceMetrics!H143&gt;=50,100,IF(PriceMetrics!H143&gt;=35,60,30))))</f>
        <v>50</v>
      </c>
      <c r="J143" s="5" t="n">
        <f aca="false">AVERAGE(IF(NOT(ISNUMBER(PriceMetrics!F143)),50,100*(1-(SUMPRODUCT(($B$2:$B$151=TRUE())*ISNUMBER(PriceMetrics!$F$2:$F$151)*(PriceMetrics!$F$2:$F$151&lt;PriceMetrics!F143))/MAX(1,SUMPRODUCT(($B$2:$B$151=TRUE())*ISNUMBER(PriceMetrics!$F$2:$F$151)))))),IF(NOT(ISNUMBER(PriceMetrics!G143)),50,100*(1-(SUMPRODUCT(($B$2:$B$151=TRUE())*ISNUMBER(PriceMetrics!$G$2:$G$151)*(ABS(PriceMetrics!$G$2:$G$151)&lt;ABS(PriceMetrics!G143)))/MAX(1,SUMPRODUCT(($B$2:$B$151=TRUE())*ISNUMBER(PriceMetrics!$G$2:$G$151)))))))</f>
        <v>50</v>
      </c>
      <c r="K143" s="5" t="n">
        <f aca="false">AVERAGE(H143:J143)</f>
        <v>50</v>
      </c>
      <c r="L143" s="8" t="n">
        <f aca="false">Macro!$B$26</f>
        <v>53.5</v>
      </c>
      <c r="M143" s="5" t="n">
        <f aca="false">Control!$B$3*100*G143/100+Control!$B$4*K143+Control!$B$5*L143</f>
        <v>50.7</v>
      </c>
      <c r="N143" s="3" t="n">
        <f aca="false">M143+ROW()/1000000</f>
        <v>50.700143</v>
      </c>
      <c r="O143" s="5" t="n">
        <f aca="false">M143-IF(AND(Tickers!D143="SMALLCAP100",Macro!$B$26&lt;40),Control!$B$11,0)</f>
        <v>50.7</v>
      </c>
      <c r="P143" s="3" t="str">
        <f aca="false">IF(B143=FALSE(),"-",IF(O143&gt;=Control!$B$7,"BUY",IF(O143&gt;=Control!$B$8,"ACCUMULATE",IF(O143&gt;=Control!$B$9,"HOLD","AVOID"))))</f>
        <v>-</v>
      </c>
      <c r="Q143" s="3" t="str">
        <f aca="false">IF(B143=FALSE(),"",IF(OR(O143&gt;=72,O143&lt;=32),"High",IF(OR(O143&gt;=62,O143&lt;=42),"Medium","Low")))</f>
        <v/>
      </c>
      <c r="R143" s="12" t="n">
        <f aca="false">IF(P143="BUY",Control!$B$12,IF(P143="ACCUMULATE",Control!$B$13,0))</f>
        <v>0</v>
      </c>
      <c r="S143" s="3" t="str">
        <f aca="false">IF(B143=FALSE(),"",IF(T143=C143,"Rich valuation",IF(T143=E143,"Weak growth",IF(T143=F143,"Balance-sheet leverage",IF(T143=I143,"Negative momentum","High volatility/drawdown")))))</f>
        <v/>
      </c>
      <c r="T143" s="3" t="n">
        <f aca="false">MIN(C143,E143,F143,I143,J143)</f>
        <v>50</v>
      </c>
      <c r="U143" s="3" t="n">
        <f aca="false">IF(B143=TRUE(),N143,-1000+ROW()/1000000)</f>
        <v>-999.999857</v>
      </c>
    </row>
    <row r="144" customFormat="false" ht="15" hidden="false" customHeight="false" outlineLevel="0" collapsed="false">
      <c r="A144" s="7" t="str">
        <f aca="false">Tickers!A144</f>
        <v>TENNIND</v>
      </c>
      <c r="B144" s="19" t="b">
        <f aca="false">Tickers!F144</f>
        <v>0</v>
      </c>
      <c r="C144" s="5" t="n">
        <f aca="false">AVERAGE(IF(NOT(ISNUMBER(Fundamentals!C144)),50,IF(Fundamentals!C144&lt;=0,15,100*(1-(SUMPRODUCT(($B$2:$B$151=TRUE())*ISNUMBER(Fundamentals!$C$2:$C$151)*(Fundamentals!$C$2:$C$151&gt;0)*(Fundamentals!$C$2:$C$151&lt;Fundamentals!C144))/MAX(1,SUMPRODUCT(($B$2:$B$151=TRUE())*ISNUMBER(Fundamentals!$C$2:$C$151)*(Fundamentals!$C$2:$C$151&gt;0))))))),IF(NOT(ISNUMBER(Fundamentals!E144)),50,IF(Fundamentals!E144&lt;=0,15,100*(1-(SUMPRODUCT(($B$2:$B$151=TRUE())*ISNUMBER(Fundamentals!$E$2:$E$151)*(Fundamentals!$E$2:$E$151&gt;0)*(Fundamentals!$E$2:$E$151&lt;Fundamentals!E144))/MAX(1,SUMPRODUCT(($B$2:$B$151=TRUE())*ISNUMBER(Fundamentals!$E$2:$E$151)*(Fundamentals!$E$2:$E$151&gt;0))))))))</f>
        <v>50</v>
      </c>
      <c r="D144" s="5" t="n">
        <f aca="false">AVERAGE(IF(NOT(ISNUMBER(Fundamentals!F144)),50,100*(SUMPRODUCT(($B$2:$B$151=TRUE())*ISNUMBER(Fundamentals!$F$2:$F$151)*(Fundamentals!$F$2:$F$151&lt;Fundamentals!F144))/MAX(1,SUMPRODUCT(($B$2:$B$151=TRUE())*ISNUMBER(Fundamentals!$F$2:$F$151))))),IF(NOT(ISNUMBER(Fundamentals!J144)),50,100*(SUMPRODUCT(($B$2:$B$151=TRUE())*ISNUMBER(Fundamentals!$J$2:$J$151)*(Fundamentals!$J$2:$J$151&lt;Fundamentals!J144))/MAX(1,SUMPRODUCT(($B$2:$B$151=TRUE())*ISNUMBER(Fundamentals!$J$2:$J$151))))))</f>
        <v>50</v>
      </c>
      <c r="E144" s="5" t="n">
        <f aca="false">AVERAGE(IF(NOT(ISNUMBER(Fundamentals!H144)),50,100*(SUMPRODUCT(($B$2:$B$151=TRUE())*ISNUMBER(Fundamentals!$H$2:$H$151)*(Fundamentals!$H$2:$H$151&lt;Fundamentals!H144))/MAX(1,SUMPRODUCT(($B$2:$B$151=TRUE())*ISNUMBER(Fundamentals!$H$2:$H$151))))),IF(NOT(ISNUMBER(Fundamentals!I144)),50,100*(SUMPRODUCT(($B$2:$B$151=TRUE())*ISNUMBER(Fundamentals!$I$2:$I$151)*(Fundamentals!$I$2:$I$151&lt;Fundamentals!I144))/MAX(1,SUMPRODUCT(($B$2:$B$151=TRUE())*ISNUMBER(Fundamentals!$I$2:$I$151))))))</f>
        <v>50</v>
      </c>
      <c r="F144" s="5" t="n">
        <f aca="false">IF(Tickers!C144="Financial Services",50,IF(NOT(ISNUMBER(Fundamentals!G144)),50,100*(1-(SUMPRODUCT(($B$2:$B$151=TRUE())*ISNUMBER(Fundamentals!$G$2:$G$151)*(Fundamentals!$G$2:$G$151&lt;Fundamentals!G144))/MAX(1,SUMPRODUCT(($B$2:$B$151=TRUE())*ISNUMBER(Fundamentals!$G$2:$G$151)))))))</f>
        <v>50</v>
      </c>
      <c r="G144" s="5" t="n">
        <f aca="false">AVERAGE(C144:F144)</f>
        <v>50</v>
      </c>
      <c r="H144" s="5" t="n">
        <f aca="false">MIN(100,MAX(0,IF(NOT(ISNUMBER(PriceMetrics!K144)),50,100*(SUMPRODUCT(($B$2:$B$151=TRUE())*ISNUMBER(PriceMetrics!$K$2:$K$151)*(PriceMetrics!$K$2:$K$151&lt;PriceMetrics!K144))/MAX(1,SUMPRODUCT(($B$2:$B$151=TRUE())*ISNUMBER(PriceMetrics!$K$2:$K$151)))))+IF(ISNUMBER(PriceMetrics!L144),10*PriceMetrics!L144,0)))</f>
        <v>50</v>
      </c>
      <c r="I144" s="5" t="n">
        <f aca="false">0.6*IF(NOT(ISNUMBER(PriceMetrics!P144)),50,100*(SUMPRODUCT(($B$2:$B$151=TRUE())*ISNUMBER(PriceMetrics!$P$2:$P$151)*(PriceMetrics!$P$2:$P$151&lt;PriceMetrics!P144))/MAX(1,SUMPRODUCT(($B$2:$B$151=TRUE())*ISNUMBER(PriceMetrics!$P$2:$P$151)))))+0.4*IF(NOT(ISNUMBER(PriceMetrics!H144)),50,IF(PriceMetrics!H144&gt;70,40,IF(PriceMetrics!H144&gt;=50,100,IF(PriceMetrics!H144&gt;=35,60,30))))</f>
        <v>50</v>
      </c>
      <c r="J144" s="5" t="n">
        <f aca="false">AVERAGE(IF(NOT(ISNUMBER(PriceMetrics!F144)),50,100*(1-(SUMPRODUCT(($B$2:$B$151=TRUE())*ISNUMBER(PriceMetrics!$F$2:$F$151)*(PriceMetrics!$F$2:$F$151&lt;PriceMetrics!F144))/MAX(1,SUMPRODUCT(($B$2:$B$151=TRUE())*ISNUMBER(PriceMetrics!$F$2:$F$151)))))),IF(NOT(ISNUMBER(PriceMetrics!G144)),50,100*(1-(SUMPRODUCT(($B$2:$B$151=TRUE())*ISNUMBER(PriceMetrics!$G$2:$G$151)*(ABS(PriceMetrics!$G$2:$G$151)&lt;ABS(PriceMetrics!G144)))/MAX(1,SUMPRODUCT(($B$2:$B$151=TRUE())*ISNUMBER(PriceMetrics!$G$2:$G$151)))))))</f>
        <v>50</v>
      </c>
      <c r="K144" s="5" t="n">
        <f aca="false">AVERAGE(H144:J144)</f>
        <v>50</v>
      </c>
      <c r="L144" s="8" t="n">
        <f aca="false">Macro!$B$26</f>
        <v>53.5</v>
      </c>
      <c r="M144" s="5" t="n">
        <f aca="false">Control!$B$3*100*G144/100+Control!$B$4*K144+Control!$B$5*L144</f>
        <v>50.7</v>
      </c>
      <c r="N144" s="3" t="n">
        <f aca="false">M144+ROW()/1000000</f>
        <v>50.700144</v>
      </c>
      <c r="O144" s="5" t="n">
        <f aca="false">M144-IF(AND(Tickers!D144="SMALLCAP100",Macro!$B$26&lt;40),Control!$B$11,0)</f>
        <v>50.7</v>
      </c>
      <c r="P144" s="3" t="str">
        <f aca="false">IF(B144=FALSE(),"-",IF(O144&gt;=Control!$B$7,"BUY",IF(O144&gt;=Control!$B$8,"ACCUMULATE",IF(O144&gt;=Control!$B$9,"HOLD","AVOID"))))</f>
        <v>-</v>
      </c>
      <c r="Q144" s="3" t="str">
        <f aca="false">IF(B144=FALSE(),"",IF(OR(O144&gt;=72,O144&lt;=32),"High",IF(OR(O144&gt;=62,O144&lt;=42),"Medium","Low")))</f>
        <v/>
      </c>
      <c r="R144" s="12" t="n">
        <f aca="false">IF(P144="BUY",Control!$B$12,IF(P144="ACCUMULATE",Control!$B$13,0))</f>
        <v>0</v>
      </c>
      <c r="S144" s="3" t="str">
        <f aca="false">IF(B144=FALSE(),"",IF(T144=C144,"Rich valuation",IF(T144=E144,"Weak growth",IF(T144=F144,"Balance-sheet leverage",IF(T144=I144,"Negative momentum","High volatility/drawdown")))))</f>
        <v/>
      </c>
      <c r="T144" s="3" t="n">
        <f aca="false">MIN(C144,E144,F144,I144,J144)</f>
        <v>50</v>
      </c>
      <c r="U144" s="3" t="n">
        <f aca="false">IF(B144=TRUE(),N144,-1000+ROW()/1000000)</f>
        <v>-999.999856</v>
      </c>
    </row>
    <row r="145" customFormat="false" ht="15" hidden="false" customHeight="false" outlineLevel="0" collapsed="false">
      <c r="A145" s="7" t="str">
        <f aca="false">Tickers!A145</f>
        <v>RAMCOCEM</v>
      </c>
      <c r="B145" s="19" t="b">
        <f aca="false">Tickers!F145</f>
        <v>0</v>
      </c>
      <c r="C145" s="5" t="n">
        <f aca="false">AVERAGE(IF(NOT(ISNUMBER(Fundamentals!C145)),50,IF(Fundamentals!C145&lt;=0,15,100*(1-(SUMPRODUCT(($B$2:$B$151=TRUE())*ISNUMBER(Fundamentals!$C$2:$C$151)*(Fundamentals!$C$2:$C$151&gt;0)*(Fundamentals!$C$2:$C$151&lt;Fundamentals!C145))/MAX(1,SUMPRODUCT(($B$2:$B$151=TRUE())*ISNUMBER(Fundamentals!$C$2:$C$151)*(Fundamentals!$C$2:$C$151&gt;0))))))),IF(NOT(ISNUMBER(Fundamentals!E145)),50,IF(Fundamentals!E145&lt;=0,15,100*(1-(SUMPRODUCT(($B$2:$B$151=TRUE())*ISNUMBER(Fundamentals!$E$2:$E$151)*(Fundamentals!$E$2:$E$151&gt;0)*(Fundamentals!$E$2:$E$151&lt;Fundamentals!E145))/MAX(1,SUMPRODUCT(($B$2:$B$151=TRUE())*ISNUMBER(Fundamentals!$E$2:$E$151)*(Fundamentals!$E$2:$E$151&gt;0))))))))</f>
        <v>50</v>
      </c>
      <c r="D145" s="5" t="n">
        <f aca="false">AVERAGE(IF(NOT(ISNUMBER(Fundamentals!F145)),50,100*(SUMPRODUCT(($B$2:$B$151=TRUE())*ISNUMBER(Fundamentals!$F$2:$F$151)*(Fundamentals!$F$2:$F$151&lt;Fundamentals!F145))/MAX(1,SUMPRODUCT(($B$2:$B$151=TRUE())*ISNUMBER(Fundamentals!$F$2:$F$151))))),IF(NOT(ISNUMBER(Fundamentals!J145)),50,100*(SUMPRODUCT(($B$2:$B$151=TRUE())*ISNUMBER(Fundamentals!$J$2:$J$151)*(Fundamentals!$J$2:$J$151&lt;Fundamentals!J145))/MAX(1,SUMPRODUCT(($B$2:$B$151=TRUE())*ISNUMBER(Fundamentals!$J$2:$J$151))))))</f>
        <v>50</v>
      </c>
      <c r="E145" s="5" t="n">
        <f aca="false">AVERAGE(IF(NOT(ISNUMBER(Fundamentals!H145)),50,100*(SUMPRODUCT(($B$2:$B$151=TRUE())*ISNUMBER(Fundamentals!$H$2:$H$151)*(Fundamentals!$H$2:$H$151&lt;Fundamentals!H145))/MAX(1,SUMPRODUCT(($B$2:$B$151=TRUE())*ISNUMBER(Fundamentals!$H$2:$H$151))))),IF(NOT(ISNUMBER(Fundamentals!I145)),50,100*(SUMPRODUCT(($B$2:$B$151=TRUE())*ISNUMBER(Fundamentals!$I$2:$I$151)*(Fundamentals!$I$2:$I$151&lt;Fundamentals!I145))/MAX(1,SUMPRODUCT(($B$2:$B$151=TRUE())*ISNUMBER(Fundamentals!$I$2:$I$151))))))</f>
        <v>50</v>
      </c>
      <c r="F145" s="5" t="n">
        <f aca="false">IF(Tickers!C145="Financial Services",50,IF(NOT(ISNUMBER(Fundamentals!G145)),50,100*(1-(SUMPRODUCT(($B$2:$B$151=TRUE())*ISNUMBER(Fundamentals!$G$2:$G$151)*(Fundamentals!$G$2:$G$151&lt;Fundamentals!G145))/MAX(1,SUMPRODUCT(($B$2:$B$151=TRUE())*ISNUMBER(Fundamentals!$G$2:$G$151)))))))</f>
        <v>50</v>
      </c>
      <c r="G145" s="5" t="n">
        <f aca="false">AVERAGE(C145:F145)</f>
        <v>50</v>
      </c>
      <c r="H145" s="5" t="n">
        <f aca="false">MIN(100,MAX(0,IF(NOT(ISNUMBER(PriceMetrics!K145)),50,100*(SUMPRODUCT(($B$2:$B$151=TRUE())*ISNUMBER(PriceMetrics!$K$2:$K$151)*(PriceMetrics!$K$2:$K$151&lt;PriceMetrics!K145))/MAX(1,SUMPRODUCT(($B$2:$B$151=TRUE())*ISNUMBER(PriceMetrics!$K$2:$K$151)))))+IF(ISNUMBER(PriceMetrics!L145),10*PriceMetrics!L145,0)))</f>
        <v>50</v>
      </c>
      <c r="I145" s="5" t="n">
        <f aca="false">0.6*IF(NOT(ISNUMBER(PriceMetrics!P145)),50,100*(SUMPRODUCT(($B$2:$B$151=TRUE())*ISNUMBER(PriceMetrics!$P$2:$P$151)*(PriceMetrics!$P$2:$P$151&lt;PriceMetrics!P145))/MAX(1,SUMPRODUCT(($B$2:$B$151=TRUE())*ISNUMBER(PriceMetrics!$P$2:$P$151)))))+0.4*IF(NOT(ISNUMBER(PriceMetrics!H145)),50,IF(PriceMetrics!H145&gt;70,40,IF(PriceMetrics!H145&gt;=50,100,IF(PriceMetrics!H145&gt;=35,60,30))))</f>
        <v>50</v>
      </c>
      <c r="J145" s="5" t="n">
        <f aca="false">AVERAGE(IF(NOT(ISNUMBER(PriceMetrics!F145)),50,100*(1-(SUMPRODUCT(($B$2:$B$151=TRUE())*ISNUMBER(PriceMetrics!$F$2:$F$151)*(PriceMetrics!$F$2:$F$151&lt;PriceMetrics!F145))/MAX(1,SUMPRODUCT(($B$2:$B$151=TRUE())*ISNUMBER(PriceMetrics!$F$2:$F$151)))))),IF(NOT(ISNUMBER(PriceMetrics!G145)),50,100*(1-(SUMPRODUCT(($B$2:$B$151=TRUE())*ISNUMBER(PriceMetrics!$G$2:$G$151)*(ABS(PriceMetrics!$G$2:$G$151)&lt;ABS(PriceMetrics!G145)))/MAX(1,SUMPRODUCT(($B$2:$B$151=TRUE())*ISNUMBER(PriceMetrics!$G$2:$G$151)))))))</f>
        <v>50</v>
      </c>
      <c r="K145" s="5" t="n">
        <f aca="false">AVERAGE(H145:J145)</f>
        <v>50</v>
      </c>
      <c r="L145" s="8" t="n">
        <f aca="false">Macro!$B$26</f>
        <v>53.5</v>
      </c>
      <c r="M145" s="5" t="n">
        <f aca="false">Control!$B$3*100*G145/100+Control!$B$4*K145+Control!$B$5*L145</f>
        <v>50.7</v>
      </c>
      <c r="N145" s="3" t="n">
        <f aca="false">M145+ROW()/1000000</f>
        <v>50.700145</v>
      </c>
      <c r="O145" s="5" t="n">
        <f aca="false">M145-IF(AND(Tickers!D145="SMALLCAP100",Macro!$B$26&lt;40),Control!$B$11,0)</f>
        <v>50.7</v>
      </c>
      <c r="P145" s="3" t="str">
        <f aca="false">IF(B145=FALSE(),"-",IF(O145&gt;=Control!$B$7,"BUY",IF(O145&gt;=Control!$B$8,"ACCUMULATE",IF(O145&gt;=Control!$B$9,"HOLD","AVOID"))))</f>
        <v>-</v>
      </c>
      <c r="Q145" s="3" t="str">
        <f aca="false">IF(B145=FALSE(),"",IF(OR(O145&gt;=72,O145&lt;=32),"High",IF(OR(O145&gt;=62,O145&lt;=42),"Medium","Low")))</f>
        <v/>
      </c>
      <c r="R145" s="12" t="n">
        <f aca="false">IF(P145="BUY",Control!$B$12,IF(P145="ACCUMULATE",Control!$B$13,0))</f>
        <v>0</v>
      </c>
      <c r="S145" s="3" t="str">
        <f aca="false">IF(B145=FALSE(),"",IF(T145=C145,"Rich valuation",IF(T145=E145,"Weak growth",IF(T145=F145,"Balance-sheet leverage",IF(T145=I145,"Negative momentum","High volatility/drawdown")))))</f>
        <v/>
      </c>
      <c r="T145" s="3" t="n">
        <f aca="false">MIN(C145,E145,F145,I145,J145)</f>
        <v>50</v>
      </c>
      <c r="U145" s="3" t="n">
        <f aca="false">IF(B145=TRUE(),N145,-1000+ROW()/1000000)</f>
        <v>-999.999855</v>
      </c>
    </row>
    <row r="146" customFormat="false" ht="15" hidden="false" customHeight="false" outlineLevel="0" collapsed="false">
      <c r="A146" s="7" t="str">
        <f aca="false">Tickers!A146</f>
        <v>TRITURBINE</v>
      </c>
      <c r="B146" s="19" t="b">
        <f aca="false">Tickers!F146</f>
        <v>0</v>
      </c>
      <c r="C146" s="5" t="n">
        <f aca="false">AVERAGE(IF(NOT(ISNUMBER(Fundamentals!C146)),50,IF(Fundamentals!C146&lt;=0,15,100*(1-(SUMPRODUCT(($B$2:$B$151=TRUE())*ISNUMBER(Fundamentals!$C$2:$C$151)*(Fundamentals!$C$2:$C$151&gt;0)*(Fundamentals!$C$2:$C$151&lt;Fundamentals!C146))/MAX(1,SUMPRODUCT(($B$2:$B$151=TRUE())*ISNUMBER(Fundamentals!$C$2:$C$151)*(Fundamentals!$C$2:$C$151&gt;0))))))),IF(NOT(ISNUMBER(Fundamentals!E146)),50,IF(Fundamentals!E146&lt;=0,15,100*(1-(SUMPRODUCT(($B$2:$B$151=TRUE())*ISNUMBER(Fundamentals!$E$2:$E$151)*(Fundamentals!$E$2:$E$151&gt;0)*(Fundamentals!$E$2:$E$151&lt;Fundamentals!E146))/MAX(1,SUMPRODUCT(($B$2:$B$151=TRUE())*ISNUMBER(Fundamentals!$E$2:$E$151)*(Fundamentals!$E$2:$E$151&gt;0))))))))</f>
        <v>50</v>
      </c>
      <c r="D146" s="5" t="n">
        <f aca="false">AVERAGE(IF(NOT(ISNUMBER(Fundamentals!F146)),50,100*(SUMPRODUCT(($B$2:$B$151=TRUE())*ISNUMBER(Fundamentals!$F$2:$F$151)*(Fundamentals!$F$2:$F$151&lt;Fundamentals!F146))/MAX(1,SUMPRODUCT(($B$2:$B$151=TRUE())*ISNUMBER(Fundamentals!$F$2:$F$151))))),IF(NOT(ISNUMBER(Fundamentals!J146)),50,100*(SUMPRODUCT(($B$2:$B$151=TRUE())*ISNUMBER(Fundamentals!$J$2:$J$151)*(Fundamentals!$J$2:$J$151&lt;Fundamentals!J146))/MAX(1,SUMPRODUCT(($B$2:$B$151=TRUE())*ISNUMBER(Fundamentals!$J$2:$J$151))))))</f>
        <v>50</v>
      </c>
      <c r="E146" s="5" t="n">
        <f aca="false">AVERAGE(IF(NOT(ISNUMBER(Fundamentals!H146)),50,100*(SUMPRODUCT(($B$2:$B$151=TRUE())*ISNUMBER(Fundamentals!$H$2:$H$151)*(Fundamentals!$H$2:$H$151&lt;Fundamentals!H146))/MAX(1,SUMPRODUCT(($B$2:$B$151=TRUE())*ISNUMBER(Fundamentals!$H$2:$H$151))))),IF(NOT(ISNUMBER(Fundamentals!I146)),50,100*(SUMPRODUCT(($B$2:$B$151=TRUE())*ISNUMBER(Fundamentals!$I$2:$I$151)*(Fundamentals!$I$2:$I$151&lt;Fundamentals!I146))/MAX(1,SUMPRODUCT(($B$2:$B$151=TRUE())*ISNUMBER(Fundamentals!$I$2:$I$151))))))</f>
        <v>50</v>
      </c>
      <c r="F146" s="5" t="n">
        <f aca="false">IF(Tickers!C146="Financial Services",50,IF(NOT(ISNUMBER(Fundamentals!G146)),50,100*(1-(SUMPRODUCT(($B$2:$B$151=TRUE())*ISNUMBER(Fundamentals!$G$2:$G$151)*(Fundamentals!$G$2:$G$151&lt;Fundamentals!G146))/MAX(1,SUMPRODUCT(($B$2:$B$151=TRUE())*ISNUMBER(Fundamentals!$G$2:$G$151)))))))</f>
        <v>50</v>
      </c>
      <c r="G146" s="5" t="n">
        <f aca="false">AVERAGE(C146:F146)</f>
        <v>50</v>
      </c>
      <c r="H146" s="5" t="n">
        <f aca="false">MIN(100,MAX(0,IF(NOT(ISNUMBER(PriceMetrics!K146)),50,100*(SUMPRODUCT(($B$2:$B$151=TRUE())*ISNUMBER(PriceMetrics!$K$2:$K$151)*(PriceMetrics!$K$2:$K$151&lt;PriceMetrics!K146))/MAX(1,SUMPRODUCT(($B$2:$B$151=TRUE())*ISNUMBER(PriceMetrics!$K$2:$K$151)))))+IF(ISNUMBER(PriceMetrics!L146),10*PriceMetrics!L146,0)))</f>
        <v>50</v>
      </c>
      <c r="I146" s="5" t="n">
        <f aca="false">0.6*IF(NOT(ISNUMBER(PriceMetrics!P146)),50,100*(SUMPRODUCT(($B$2:$B$151=TRUE())*ISNUMBER(PriceMetrics!$P$2:$P$151)*(PriceMetrics!$P$2:$P$151&lt;PriceMetrics!P146))/MAX(1,SUMPRODUCT(($B$2:$B$151=TRUE())*ISNUMBER(PriceMetrics!$P$2:$P$151)))))+0.4*IF(NOT(ISNUMBER(PriceMetrics!H146)),50,IF(PriceMetrics!H146&gt;70,40,IF(PriceMetrics!H146&gt;=50,100,IF(PriceMetrics!H146&gt;=35,60,30))))</f>
        <v>50</v>
      </c>
      <c r="J146" s="5" t="n">
        <f aca="false">AVERAGE(IF(NOT(ISNUMBER(PriceMetrics!F146)),50,100*(1-(SUMPRODUCT(($B$2:$B$151=TRUE())*ISNUMBER(PriceMetrics!$F$2:$F$151)*(PriceMetrics!$F$2:$F$151&lt;PriceMetrics!F146))/MAX(1,SUMPRODUCT(($B$2:$B$151=TRUE())*ISNUMBER(PriceMetrics!$F$2:$F$151)))))),IF(NOT(ISNUMBER(PriceMetrics!G146)),50,100*(1-(SUMPRODUCT(($B$2:$B$151=TRUE())*ISNUMBER(PriceMetrics!$G$2:$G$151)*(ABS(PriceMetrics!$G$2:$G$151)&lt;ABS(PriceMetrics!G146)))/MAX(1,SUMPRODUCT(($B$2:$B$151=TRUE())*ISNUMBER(PriceMetrics!$G$2:$G$151)))))))</f>
        <v>50</v>
      </c>
      <c r="K146" s="5" t="n">
        <f aca="false">AVERAGE(H146:J146)</f>
        <v>50</v>
      </c>
      <c r="L146" s="8" t="n">
        <f aca="false">Macro!$B$26</f>
        <v>53.5</v>
      </c>
      <c r="M146" s="5" t="n">
        <f aca="false">Control!$B$3*100*G146/100+Control!$B$4*K146+Control!$B$5*L146</f>
        <v>50.7</v>
      </c>
      <c r="N146" s="3" t="n">
        <f aca="false">M146+ROW()/1000000</f>
        <v>50.700146</v>
      </c>
      <c r="O146" s="5" t="n">
        <f aca="false">M146-IF(AND(Tickers!D146="SMALLCAP100",Macro!$B$26&lt;40),Control!$B$11,0)</f>
        <v>50.7</v>
      </c>
      <c r="P146" s="3" t="str">
        <f aca="false">IF(B146=FALSE(),"-",IF(O146&gt;=Control!$B$7,"BUY",IF(O146&gt;=Control!$B$8,"ACCUMULATE",IF(O146&gt;=Control!$B$9,"HOLD","AVOID"))))</f>
        <v>-</v>
      </c>
      <c r="Q146" s="3" t="str">
        <f aca="false">IF(B146=FALSE(),"",IF(OR(O146&gt;=72,O146&lt;=32),"High",IF(OR(O146&gt;=62,O146&lt;=42),"Medium","Low")))</f>
        <v/>
      </c>
      <c r="R146" s="12" t="n">
        <f aca="false">IF(P146="BUY",Control!$B$12,IF(P146="ACCUMULATE",Control!$B$13,0))</f>
        <v>0</v>
      </c>
      <c r="S146" s="3" t="str">
        <f aca="false">IF(B146=FALSE(),"",IF(T146=C146,"Rich valuation",IF(T146=E146,"Weak growth",IF(T146=F146,"Balance-sheet leverage",IF(T146=I146,"Negative momentum","High volatility/drawdown")))))</f>
        <v/>
      </c>
      <c r="T146" s="3" t="n">
        <f aca="false">MIN(C146,E146,F146,I146,J146)</f>
        <v>50</v>
      </c>
      <c r="U146" s="3" t="n">
        <f aca="false">IF(B146=TRUE(),N146,-1000+ROW()/1000000)</f>
        <v>-999.999854</v>
      </c>
    </row>
    <row r="147" customFormat="false" ht="15" hidden="false" customHeight="false" outlineLevel="0" collapsed="false">
      <c r="A147" s="7" t="str">
        <f aca="false">Tickers!A147</f>
        <v>URBANCO</v>
      </c>
      <c r="B147" s="19" t="b">
        <f aca="false">Tickers!F147</f>
        <v>0</v>
      </c>
      <c r="C147" s="5" t="n">
        <f aca="false">AVERAGE(IF(NOT(ISNUMBER(Fundamentals!C147)),50,IF(Fundamentals!C147&lt;=0,15,100*(1-(SUMPRODUCT(($B$2:$B$151=TRUE())*ISNUMBER(Fundamentals!$C$2:$C$151)*(Fundamentals!$C$2:$C$151&gt;0)*(Fundamentals!$C$2:$C$151&lt;Fundamentals!C147))/MAX(1,SUMPRODUCT(($B$2:$B$151=TRUE())*ISNUMBER(Fundamentals!$C$2:$C$151)*(Fundamentals!$C$2:$C$151&gt;0))))))),IF(NOT(ISNUMBER(Fundamentals!E147)),50,IF(Fundamentals!E147&lt;=0,15,100*(1-(SUMPRODUCT(($B$2:$B$151=TRUE())*ISNUMBER(Fundamentals!$E$2:$E$151)*(Fundamentals!$E$2:$E$151&gt;0)*(Fundamentals!$E$2:$E$151&lt;Fundamentals!E147))/MAX(1,SUMPRODUCT(($B$2:$B$151=TRUE())*ISNUMBER(Fundamentals!$E$2:$E$151)*(Fundamentals!$E$2:$E$151&gt;0))))))))</f>
        <v>50</v>
      </c>
      <c r="D147" s="5" t="n">
        <f aca="false">AVERAGE(IF(NOT(ISNUMBER(Fundamentals!F147)),50,100*(SUMPRODUCT(($B$2:$B$151=TRUE())*ISNUMBER(Fundamentals!$F$2:$F$151)*(Fundamentals!$F$2:$F$151&lt;Fundamentals!F147))/MAX(1,SUMPRODUCT(($B$2:$B$151=TRUE())*ISNUMBER(Fundamentals!$F$2:$F$151))))),IF(NOT(ISNUMBER(Fundamentals!J147)),50,100*(SUMPRODUCT(($B$2:$B$151=TRUE())*ISNUMBER(Fundamentals!$J$2:$J$151)*(Fundamentals!$J$2:$J$151&lt;Fundamentals!J147))/MAX(1,SUMPRODUCT(($B$2:$B$151=TRUE())*ISNUMBER(Fundamentals!$J$2:$J$151))))))</f>
        <v>50</v>
      </c>
      <c r="E147" s="5" t="n">
        <f aca="false">AVERAGE(IF(NOT(ISNUMBER(Fundamentals!H147)),50,100*(SUMPRODUCT(($B$2:$B$151=TRUE())*ISNUMBER(Fundamentals!$H$2:$H$151)*(Fundamentals!$H$2:$H$151&lt;Fundamentals!H147))/MAX(1,SUMPRODUCT(($B$2:$B$151=TRUE())*ISNUMBER(Fundamentals!$H$2:$H$151))))),IF(NOT(ISNUMBER(Fundamentals!I147)),50,100*(SUMPRODUCT(($B$2:$B$151=TRUE())*ISNUMBER(Fundamentals!$I$2:$I$151)*(Fundamentals!$I$2:$I$151&lt;Fundamentals!I147))/MAX(1,SUMPRODUCT(($B$2:$B$151=TRUE())*ISNUMBER(Fundamentals!$I$2:$I$151))))))</f>
        <v>50</v>
      </c>
      <c r="F147" s="5" t="n">
        <f aca="false">IF(Tickers!C147="Financial Services",50,IF(NOT(ISNUMBER(Fundamentals!G147)),50,100*(1-(SUMPRODUCT(($B$2:$B$151=TRUE())*ISNUMBER(Fundamentals!$G$2:$G$151)*(Fundamentals!$G$2:$G$151&lt;Fundamentals!G147))/MAX(1,SUMPRODUCT(($B$2:$B$151=TRUE())*ISNUMBER(Fundamentals!$G$2:$G$151)))))))</f>
        <v>50</v>
      </c>
      <c r="G147" s="5" t="n">
        <f aca="false">AVERAGE(C147:F147)</f>
        <v>50</v>
      </c>
      <c r="H147" s="5" t="n">
        <f aca="false">MIN(100,MAX(0,IF(NOT(ISNUMBER(PriceMetrics!K147)),50,100*(SUMPRODUCT(($B$2:$B$151=TRUE())*ISNUMBER(PriceMetrics!$K$2:$K$151)*(PriceMetrics!$K$2:$K$151&lt;PriceMetrics!K147))/MAX(1,SUMPRODUCT(($B$2:$B$151=TRUE())*ISNUMBER(PriceMetrics!$K$2:$K$151)))))+IF(ISNUMBER(PriceMetrics!L147),10*PriceMetrics!L147,0)))</f>
        <v>50</v>
      </c>
      <c r="I147" s="5" t="n">
        <f aca="false">0.6*IF(NOT(ISNUMBER(PriceMetrics!P147)),50,100*(SUMPRODUCT(($B$2:$B$151=TRUE())*ISNUMBER(PriceMetrics!$P$2:$P$151)*(PriceMetrics!$P$2:$P$151&lt;PriceMetrics!P147))/MAX(1,SUMPRODUCT(($B$2:$B$151=TRUE())*ISNUMBER(PriceMetrics!$P$2:$P$151)))))+0.4*IF(NOT(ISNUMBER(PriceMetrics!H147)),50,IF(PriceMetrics!H147&gt;70,40,IF(PriceMetrics!H147&gt;=50,100,IF(PriceMetrics!H147&gt;=35,60,30))))</f>
        <v>50</v>
      </c>
      <c r="J147" s="5" t="n">
        <f aca="false">AVERAGE(IF(NOT(ISNUMBER(PriceMetrics!F147)),50,100*(1-(SUMPRODUCT(($B$2:$B$151=TRUE())*ISNUMBER(PriceMetrics!$F$2:$F$151)*(PriceMetrics!$F$2:$F$151&lt;PriceMetrics!F147))/MAX(1,SUMPRODUCT(($B$2:$B$151=TRUE())*ISNUMBER(PriceMetrics!$F$2:$F$151)))))),IF(NOT(ISNUMBER(PriceMetrics!G147)),50,100*(1-(SUMPRODUCT(($B$2:$B$151=TRUE())*ISNUMBER(PriceMetrics!$G$2:$G$151)*(ABS(PriceMetrics!$G$2:$G$151)&lt;ABS(PriceMetrics!G147)))/MAX(1,SUMPRODUCT(($B$2:$B$151=TRUE())*ISNUMBER(PriceMetrics!$G$2:$G$151)))))))</f>
        <v>50</v>
      </c>
      <c r="K147" s="5" t="n">
        <f aca="false">AVERAGE(H147:J147)</f>
        <v>50</v>
      </c>
      <c r="L147" s="8" t="n">
        <f aca="false">Macro!$B$26</f>
        <v>53.5</v>
      </c>
      <c r="M147" s="5" t="n">
        <f aca="false">Control!$B$3*100*G147/100+Control!$B$4*K147+Control!$B$5*L147</f>
        <v>50.7</v>
      </c>
      <c r="N147" s="3" t="n">
        <f aca="false">M147+ROW()/1000000</f>
        <v>50.700147</v>
      </c>
      <c r="O147" s="5" t="n">
        <f aca="false">M147-IF(AND(Tickers!D147="SMALLCAP100",Macro!$B$26&lt;40),Control!$B$11,0)</f>
        <v>50.7</v>
      </c>
      <c r="P147" s="3" t="str">
        <f aca="false">IF(B147=FALSE(),"-",IF(O147&gt;=Control!$B$7,"BUY",IF(O147&gt;=Control!$B$8,"ACCUMULATE",IF(O147&gt;=Control!$B$9,"HOLD","AVOID"))))</f>
        <v>-</v>
      </c>
      <c r="Q147" s="3" t="str">
        <f aca="false">IF(B147=FALSE(),"",IF(OR(O147&gt;=72,O147&lt;=32),"High",IF(OR(O147&gt;=62,O147&lt;=42),"Medium","Low")))</f>
        <v/>
      </c>
      <c r="R147" s="12" t="n">
        <f aca="false">IF(P147="BUY",Control!$B$12,IF(P147="ACCUMULATE",Control!$B$13,0))</f>
        <v>0</v>
      </c>
      <c r="S147" s="3" t="str">
        <f aca="false">IF(B147=FALSE(),"",IF(T147=C147,"Rich valuation",IF(T147=E147,"Weak growth",IF(T147=F147,"Balance-sheet leverage",IF(T147=I147,"Negative momentum","High volatility/drawdown")))))</f>
        <v/>
      </c>
      <c r="T147" s="3" t="n">
        <f aca="false">MIN(C147,E147,F147,I147,J147)</f>
        <v>50</v>
      </c>
      <c r="U147" s="3" t="n">
        <f aca="false">IF(B147=TRUE(),N147,-1000+ROW()/1000000)</f>
        <v>-999.999853</v>
      </c>
    </row>
    <row r="148" customFormat="false" ht="15" hidden="false" customHeight="false" outlineLevel="0" collapsed="false">
      <c r="A148" s="7" t="str">
        <f aca="false">Tickers!A148</f>
        <v>WELCORP</v>
      </c>
      <c r="B148" s="19" t="b">
        <f aca="false">Tickers!F148</f>
        <v>0</v>
      </c>
      <c r="C148" s="5" t="n">
        <f aca="false">AVERAGE(IF(NOT(ISNUMBER(Fundamentals!C148)),50,IF(Fundamentals!C148&lt;=0,15,100*(1-(SUMPRODUCT(($B$2:$B$151=TRUE())*ISNUMBER(Fundamentals!$C$2:$C$151)*(Fundamentals!$C$2:$C$151&gt;0)*(Fundamentals!$C$2:$C$151&lt;Fundamentals!C148))/MAX(1,SUMPRODUCT(($B$2:$B$151=TRUE())*ISNUMBER(Fundamentals!$C$2:$C$151)*(Fundamentals!$C$2:$C$151&gt;0))))))),IF(NOT(ISNUMBER(Fundamentals!E148)),50,IF(Fundamentals!E148&lt;=0,15,100*(1-(SUMPRODUCT(($B$2:$B$151=TRUE())*ISNUMBER(Fundamentals!$E$2:$E$151)*(Fundamentals!$E$2:$E$151&gt;0)*(Fundamentals!$E$2:$E$151&lt;Fundamentals!E148))/MAX(1,SUMPRODUCT(($B$2:$B$151=TRUE())*ISNUMBER(Fundamentals!$E$2:$E$151)*(Fundamentals!$E$2:$E$151&gt;0))))))))</f>
        <v>50</v>
      </c>
      <c r="D148" s="5" t="n">
        <f aca="false">AVERAGE(IF(NOT(ISNUMBER(Fundamentals!F148)),50,100*(SUMPRODUCT(($B$2:$B$151=TRUE())*ISNUMBER(Fundamentals!$F$2:$F$151)*(Fundamentals!$F$2:$F$151&lt;Fundamentals!F148))/MAX(1,SUMPRODUCT(($B$2:$B$151=TRUE())*ISNUMBER(Fundamentals!$F$2:$F$151))))),IF(NOT(ISNUMBER(Fundamentals!J148)),50,100*(SUMPRODUCT(($B$2:$B$151=TRUE())*ISNUMBER(Fundamentals!$J$2:$J$151)*(Fundamentals!$J$2:$J$151&lt;Fundamentals!J148))/MAX(1,SUMPRODUCT(($B$2:$B$151=TRUE())*ISNUMBER(Fundamentals!$J$2:$J$151))))))</f>
        <v>50</v>
      </c>
      <c r="E148" s="5" t="n">
        <f aca="false">AVERAGE(IF(NOT(ISNUMBER(Fundamentals!H148)),50,100*(SUMPRODUCT(($B$2:$B$151=TRUE())*ISNUMBER(Fundamentals!$H$2:$H$151)*(Fundamentals!$H$2:$H$151&lt;Fundamentals!H148))/MAX(1,SUMPRODUCT(($B$2:$B$151=TRUE())*ISNUMBER(Fundamentals!$H$2:$H$151))))),IF(NOT(ISNUMBER(Fundamentals!I148)),50,100*(SUMPRODUCT(($B$2:$B$151=TRUE())*ISNUMBER(Fundamentals!$I$2:$I$151)*(Fundamentals!$I$2:$I$151&lt;Fundamentals!I148))/MAX(1,SUMPRODUCT(($B$2:$B$151=TRUE())*ISNUMBER(Fundamentals!$I$2:$I$151))))))</f>
        <v>50</v>
      </c>
      <c r="F148" s="5" t="n">
        <f aca="false">IF(Tickers!C148="Financial Services",50,IF(NOT(ISNUMBER(Fundamentals!G148)),50,100*(1-(SUMPRODUCT(($B$2:$B$151=TRUE())*ISNUMBER(Fundamentals!$G$2:$G$151)*(Fundamentals!$G$2:$G$151&lt;Fundamentals!G148))/MAX(1,SUMPRODUCT(($B$2:$B$151=TRUE())*ISNUMBER(Fundamentals!$G$2:$G$151)))))))</f>
        <v>50</v>
      </c>
      <c r="G148" s="5" t="n">
        <f aca="false">AVERAGE(C148:F148)</f>
        <v>50</v>
      </c>
      <c r="H148" s="5" t="n">
        <f aca="false">MIN(100,MAX(0,IF(NOT(ISNUMBER(PriceMetrics!K148)),50,100*(SUMPRODUCT(($B$2:$B$151=TRUE())*ISNUMBER(PriceMetrics!$K$2:$K$151)*(PriceMetrics!$K$2:$K$151&lt;PriceMetrics!K148))/MAX(1,SUMPRODUCT(($B$2:$B$151=TRUE())*ISNUMBER(PriceMetrics!$K$2:$K$151)))))+IF(ISNUMBER(PriceMetrics!L148),10*PriceMetrics!L148,0)))</f>
        <v>50</v>
      </c>
      <c r="I148" s="5" t="n">
        <f aca="false">0.6*IF(NOT(ISNUMBER(PriceMetrics!P148)),50,100*(SUMPRODUCT(($B$2:$B$151=TRUE())*ISNUMBER(PriceMetrics!$P$2:$P$151)*(PriceMetrics!$P$2:$P$151&lt;PriceMetrics!P148))/MAX(1,SUMPRODUCT(($B$2:$B$151=TRUE())*ISNUMBER(PriceMetrics!$P$2:$P$151)))))+0.4*IF(NOT(ISNUMBER(PriceMetrics!H148)),50,IF(PriceMetrics!H148&gt;70,40,IF(PriceMetrics!H148&gt;=50,100,IF(PriceMetrics!H148&gt;=35,60,30))))</f>
        <v>50</v>
      </c>
      <c r="J148" s="5" t="n">
        <f aca="false">AVERAGE(IF(NOT(ISNUMBER(PriceMetrics!F148)),50,100*(1-(SUMPRODUCT(($B$2:$B$151=TRUE())*ISNUMBER(PriceMetrics!$F$2:$F$151)*(PriceMetrics!$F$2:$F$151&lt;PriceMetrics!F148))/MAX(1,SUMPRODUCT(($B$2:$B$151=TRUE())*ISNUMBER(PriceMetrics!$F$2:$F$151)))))),IF(NOT(ISNUMBER(PriceMetrics!G148)),50,100*(1-(SUMPRODUCT(($B$2:$B$151=TRUE())*ISNUMBER(PriceMetrics!$G$2:$G$151)*(ABS(PriceMetrics!$G$2:$G$151)&lt;ABS(PriceMetrics!G148)))/MAX(1,SUMPRODUCT(($B$2:$B$151=TRUE())*ISNUMBER(PriceMetrics!$G$2:$G$151)))))))</f>
        <v>50</v>
      </c>
      <c r="K148" s="5" t="n">
        <f aca="false">AVERAGE(H148:J148)</f>
        <v>50</v>
      </c>
      <c r="L148" s="8" t="n">
        <f aca="false">Macro!$B$26</f>
        <v>53.5</v>
      </c>
      <c r="M148" s="5" t="n">
        <f aca="false">Control!$B$3*100*G148/100+Control!$B$4*K148+Control!$B$5*L148</f>
        <v>50.7</v>
      </c>
      <c r="N148" s="3" t="n">
        <f aca="false">M148+ROW()/1000000</f>
        <v>50.700148</v>
      </c>
      <c r="O148" s="5" t="n">
        <f aca="false">M148-IF(AND(Tickers!D148="SMALLCAP100",Macro!$B$26&lt;40),Control!$B$11,0)</f>
        <v>50.7</v>
      </c>
      <c r="P148" s="3" t="str">
        <f aca="false">IF(B148=FALSE(),"-",IF(O148&gt;=Control!$B$7,"BUY",IF(O148&gt;=Control!$B$8,"ACCUMULATE",IF(O148&gt;=Control!$B$9,"HOLD","AVOID"))))</f>
        <v>-</v>
      </c>
      <c r="Q148" s="3" t="str">
        <f aca="false">IF(B148=FALSE(),"",IF(OR(O148&gt;=72,O148&lt;=32),"High",IF(OR(O148&gt;=62,O148&lt;=42),"Medium","Low")))</f>
        <v/>
      </c>
      <c r="R148" s="12" t="n">
        <f aca="false">IF(P148="BUY",Control!$B$12,IF(P148="ACCUMULATE",Control!$B$13,0))</f>
        <v>0</v>
      </c>
      <c r="S148" s="3" t="str">
        <f aca="false">IF(B148=FALSE(),"",IF(T148=C148,"Rich valuation",IF(T148=E148,"Weak growth",IF(T148=F148,"Balance-sheet leverage",IF(T148=I148,"Negative momentum","High volatility/drawdown")))))</f>
        <v/>
      </c>
      <c r="T148" s="3" t="n">
        <f aca="false">MIN(C148,E148,F148,I148,J148)</f>
        <v>50</v>
      </c>
      <c r="U148" s="3" t="n">
        <f aca="false">IF(B148=TRUE(),N148,-1000+ROW()/1000000)</f>
        <v>-999.999852</v>
      </c>
    </row>
    <row r="149" customFormat="false" ht="15" hidden="false" customHeight="false" outlineLevel="0" collapsed="false">
      <c r="A149" s="7" t="str">
        <f aca="false">Tickers!A149</f>
        <v>WHIRLPOOL</v>
      </c>
      <c r="B149" s="19" t="b">
        <f aca="false">Tickers!F149</f>
        <v>0</v>
      </c>
      <c r="C149" s="5" t="n">
        <f aca="false">AVERAGE(IF(NOT(ISNUMBER(Fundamentals!C149)),50,IF(Fundamentals!C149&lt;=0,15,100*(1-(SUMPRODUCT(($B$2:$B$151=TRUE())*ISNUMBER(Fundamentals!$C$2:$C$151)*(Fundamentals!$C$2:$C$151&gt;0)*(Fundamentals!$C$2:$C$151&lt;Fundamentals!C149))/MAX(1,SUMPRODUCT(($B$2:$B$151=TRUE())*ISNUMBER(Fundamentals!$C$2:$C$151)*(Fundamentals!$C$2:$C$151&gt;0))))))),IF(NOT(ISNUMBER(Fundamentals!E149)),50,IF(Fundamentals!E149&lt;=0,15,100*(1-(SUMPRODUCT(($B$2:$B$151=TRUE())*ISNUMBER(Fundamentals!$E$2:$E$151)*(Fundamentals!$E$2:$E$151&gt;0)*(Fundamentals!$E$2:$E$151&lt;Fundamentals!E149))/MAX(1,SUMPRODUCT(($B$2:$B$151=TRUE())*ISNUMBER(Fundamentals!$E$2:$E$151)*(Fundamentals!$E$2:$E$151&gt;0))))))))</f>
        <v>50</v>
      </c>
      <c r="D149" s="5" t="n">
        <f aca="false">AVERAGE(IF(NOT(ISNUMBER(Fundamentals!F149)),50,100*(SUMPRODUCT(($B$2:$B$151=TRUE())*ISNUMBER(Fundamentals!$F$2:$F$151)*(Fundamentals!$F$2:$F$151&lt;Fundamentals!F149))/MAX(1,SUMPRODUCT(($B$2:$B$151=TRUE())*ISNUMBER(Fundamentals!$F$2:$F$151))))),IF(NOT(ISNUMBER(Fundamentals!J149)),50,100*(SUMPRODUCT(($B$2:$B$151=TRUE())*ISNUMBER(Fundamentals!$J$2:$J$151)*(Fundamentals!$J$2:$J$151&lt;Fundamentals!J149))/MAX(1,SUMPRODUCT(($B$2:$B$151=TRUE())*ISNUMBER(Fundamentals!$J$2:$J$151))))))</f>
        <v>50</v>
      </c>
      <c r="E149" s="5" t="n">
        <f aca="false">AVERAGE(IF(NOT(ISNUMBER(Fundamentals!H149)),50,100*(SUMPRODUCT(($B$2:$B$151=TRUE())*ISNUMBER(Fundamentals!$H$2:$H$151)*(Fundamentals!$H$2:$H$151&lt;Fundamentals!H149))/MAX(1,SUMPRODUCT(($B$2:$B$151=TRUE())*ISNUMBER(Fundamentals!$H$2:$H$151))))),IF(NOT(ISNUMBER(Fundamentals!I149)),50,100*(SUMPRODUCT(($B$2:$B$151=TRUE())*ISNUMBER(Fundamentals!$I$2:$I$151)*(Fundamentals!$I$2:$I$151&lt;Fundamentals!I149))/MAX(1,SUMPRODUCT(($B$2:$B$151=TRUE())*ISNUMBER(Fundamentals!$I$2:$I$151))))))</f>
        <v>50</v>
      </c>
      <c r="F149" s="5" t="n">
        <f aca="false">IF(Tickers!C149="Financial Services",50,IF(NOT(ISNUMBER(Fundamentals!G149)),50,100*(1-(SUMPRODUCT(($B$2:$B$151=TRUE())*ISNUMBER(Fundamentals!$G$2:$G$151)*(Fundamentals!$G$2:$G$151&lt;Fundamentals!G149))/MAX(1,SUMPRODUCT(($B$2:$B$151=TRUE())*ISNUMBER(Fundamentals!$G$2:$G$151)))))))</f>
        <v>50</v>
      </c>
      <c r="G149" s="5" t="n">
        <f aca="false">AVERAGE(C149:F149)</f>
        <v>50</v>
      </c>
      <c r="H149" s="5" t="n">
        <f aca="false">MIN(100,MAX(0,IF(NOT(ISNUMBER(PriceMetrics!K149)),50,100*(SUMPRODUCT(($B$2:$B$151=TRUE())*ISNUMBER(PriceMetrics!$K$2:$K$151)*(PriceMetrics!$K$2:$K$151&lt;PriceMetrics!K149))/MAX(1,SUMPRODUCT(($B$2:$B$151=TRUE())*ISNUMBER(PriceMetrics!$K$2:$K$151)))))+IF(ISNUMBER(PriceMetrics!L149),10*PriceMetrics!L149,0)))</f>
        <v>50</v>
      </c>
      <c r="I149" s="5" t="n">
        <f aca="false">0.6*IF(NOT(ISNUMBER(PriceMetrics!P149)),50,100*(SUMPRODUCT(($B$2:$B$151=TRUE())*ISNUMBER(PriceMetrics!$P$2:$P$151)*(PriceMetrics!$P$2:$P$151&lt;PriceMetrics!P149))/MAX(1,SUMPRODUCT(($B$2:$B$151=TRUE())*ISNUMBER(PriceMetrics!$P$2:$P$151)))))+0.4*IF(NOT(ISNUMBER(PriceMetrics!H149)),50,IF(PriceMetrics!H149&gt;70,40,IF(PriceMetrics!H149&gt;=50,100,IF(PriceMetrics!H149&gt;=35,60,30))))</f>
        <v>50</v>
      </c>
      <c r="J149" s="5" t="n">
        <f aca="false">AVERAGE(IF(NOT(ISNUMBER(PriceMetrics!F149)),50,100*(1-(SUMPRODUCT(($B$2:$B$151=TRUE())*ISNUMBER(PriceMetrics!$F$2:$F$151)*(PriceMetrics!$F$2:$F$151&lt;PriceMetrics!F149))/MAX(1,SUMPRODUCT(($B$2:$B$151=TRUE())*ISNUMBER(PriceMetrics!$F$2:$F$151)))))),IF(NOT(ISNUMBER(PriceMetrics!G149)),50,100*(1-(SUMPRODUCT(($B$2:$B$151=TRUE())*ISNUMBER(PriceMetrics!$G$2:$G$151)*(ABS(PriceMetrics!$G$2:$G$151)&lt;ABS(PriceMetrics!G149)))/MAX(1,SUMPRODUCT(($B$2:$B$151=TRUE())*ISNUMBER(PriceMetrics!$G$2:$G$151)))))))</f>
        <v>50</v>
      </c>
      <c r="K149" s="5" t="n">
        <f aca="false">AVERAGE(H149:J149)</f>
        <v>50</v>
      </c>
      <c r="L149" s="8" t="n">
        <f aca="false">Macro!$B$26</f>
        <v>53.5</v>
      </c>
      <c r="M149" s="5" t="n">
        <f aca="false">Control!$B$3*100*G149/100+Control!$B$4*K149+Control!$B$5*L149</f>
        <v>50.7</v>
      </c>
      <c r="N149" s="3" t="n">
        <f aca="false">M149+ROW()/1000000</f>
        <v>50.700149</v>
      </c>
      <c r="O149" s="5" t="n">
        <f aca="false">M149-IF(AND(Tickers!D149="SMALLCAP100",Macro!$B$26&lt;40),Control!$B$11,0)</f>
        <v>50.7</v>
      </c>
      <c r="P149" s="3" t="str">
        <f aca="false">IF(B149=FALSE(),"-",IF(O149&gt;=Control!$B$7,"BUY",IF(O149&gt;=Control!$B$8,"ACCUMULATE",IF(O149&gt;=Control!$B$9,"HOLD","AVOID"))))</f>
        <v>-</v>
      </c>
      <c r="Q149" s="3" t="str">
        <f aca="false">IF(B149=FALSE(),"",IF(OR(O149&gt;=72,O149&lt;=32),"High",IF(OR(O149&gt;=62,O149&lt;=42),"Medium","Low")))</f>
        <v/>
      </c>
      <c r="R149" s="12" t="n">
        <f aca="false">IF(P149="BUY",Control!$B$12,IF(P149="ACCUMULATE",Control!$B$13,0))</f>
        <v>0</v>
      </c>
      <c r="S149" s="3" t="str">
        <f aca="false">IF(B149=FALSE(),"",IF(T149=C149,"Rich valuation",IF(T149=E149,"Weak growth",IF(T149=F149,"Balance-sheet leverage",IF(T149=I149,"Negative momentum","High volatility/drawdown")))))</f>
        <v/>
      </c>
      <c r="T149" s="3" t="n">
        <f aca="false">MIN(C149,E149,F149,I149,J149)</f>
        <v>50</v>
      </c>
      <c r="U149" s="3" t="n">
        <f aca="false">IF(B149=TRUE(),N149,-1000+ROW()/1000000)</f>
        <v>-999.999851</v>
      </c>
    </row>
    <row r="150" customFormat="false" ht="15" hidden="false" customHeight="false" outlineLevel="0" collapsed="false">
      <c r="A150" s="7" t="str">
        <f aca="false">Tickers!A150</f>
        <v>WOCKPHARMA</v>
      </c>
      <c r="B150" s="19" t="b">
        <f aca="false">Tickers!F150</f>
        <v>0</v>
      </c>
      <c r="C150" s="5" t="n">
        <f aca="false">AVERAGE(IF(NOT(ISNUMBER(Fundamentals!C150)),50,IF(Fundamentals!C150&lt;=0,15,100*(1-(SUMPRODUCT(($B$2:$B$151=TRUE())*ISNUMBER(Fundamentals!$C$2:$C$151)*(Fundamentals!$C$2:$C$151&gt;0)*(Fundamentals!$C$2:$C$151&lt;Fundamentals!C150))/MAX(1,SUMPRODUCT(($B$2:$B$151=TRUE())*ISNUMBER(Fundamentals!$C$2:$C$151)*(Fundamentals!$C$2:$C$151&gt;0))))))),IF(NOT(ISNUMBER(Fundamentals!E150)),50,IF(Fundamentals!E150&lt;=0,15,100*(1-(SUMPRODUCT(($B$2:$B$151=TRUE())*ISNUMBER(Fundamentals!$E$2:$E$151)*(Fundamentals!$E$2:$E$151&gt;0)*(Fundamentals!$E$2:$E$151&lt;Fundamentals!E150))/MAX(1,SUMPRODUCT(($B$2:$B$151=TRUE())*ISNUMBER(Fundamentals!$E$2:$E$151)*(Fundamentals!$E$2:$E$151&gt;0))))))))</f>
        <v>50</v>
      </c>
      <c r="D150" s="5" t="n">
        <f aca="false">AVERAGE(IF(NOT(ISNUMBER(Fundamentals!F150)),50,100*(SUMPRODUCT(($B$2:$B$151=TRUE())*ISNUMBER(Fundamentals!$F$2:$F$151)*(Fundamentals!$F$2:$F$151&lt;Fundamentals!F150))/MAX(1,SUMPRODUCT(($B$2:$B$151=TRUE())*ISNUMBER(Fundamentals!$F$2:$F$151))))),IF(NOT(ISNUMBER(Fundamentals!J150)),50,100*(SUMPRODUCT(($B$2:$B$151=TRUE())*ISNUMBER(Fundamentals!$J$2:$J$151)*(Fundamentals!$J$2:$J$151&lt;Fundamentals!J150))/MAX(1,SUMPRODUCT(($B$2:$B$151=TRUE())*ISNUMBER(Fundamentals!$J$2:$J$151))))))</f>
        <v>50</v>
      </c>
      <c r="E150" s="5" t="n">
        <f aca="false">AVERAGE(IF(NOT(ISNUMBER(Fundamentals!H150)),50,100*(SUMPRODUCT(($B$2:$B$151=TRUE())*ISNUMBER(Fundamentals!$H$2:$H$151)*(Fundamentals!$H$2:$H$151&lt;Fundamentals!H150))/MAX(1,SUMPRODUCT(($B$2:$B$151=TRUE())*ISNUMBER(Fundamentals!$H$2:$H$151))))),IF(NOT(ISNUMBER(Fundamentals!I150)),50,100*(SUMPRODUCT(($B$2:$B$151=TRUE())*ISNUMBER(Fundamentals!$I$2:$I$151)*(Fundamentals!$I$2:$I$151&lt;Fundamentals!I150))/MAX(1,SUMPRODUCT(($B$2:$B$151=TRUE())*ISNUMBER(Fundamentals!$I$2:$I$151))))))</f>
        <v>50</v>
      </c>
      <c r="F150" s="5" t="n">
        <f aca="false">IF(Tickers!C150="Financial Services",50,IF(NOT(ISNUMBER(Fundamentals!G150)),50,100*(1-(SUMPRODUCT(($B$2:$B$151=TRUE())*ISNUMBER(Fundamentals!$G$2:$G$151)*(Fundamentals!$G$2:$G$151&lt;Fundamentals!G150))/MAX(1,SUMPRODUCT(($B$2:$B$151=TRUE())*ISNUMBER(Fundamentals!$G$2:$G$151)))))))</f>
        <v>50</v>
      </c>
      <c r="G150" s="5" t="n">
        <f aca="false">AVERAGE(C150:F150)</f>
        <v>50</v>
      </c>
      <c r="H150" s="5" t="n">
        <f aca="false">MIN(100,MAX(0,IF(NOT(ISNUMBER(PriceMetrics!K150)),50,100*(SUMPRODUCT(($B$2:$B$151=TRUE())*ISNUMBER(PriceMetrics!$K$2:$K$151)*(PriceMetrics!$K$2:$K$151&lt;PriceMetrics!K150))/MAX(1,SUMPRODUCT(($B$2:$B$151=TRUE())*ISNUMBER(PriceMetrics!$K$2:$K$151)))))+IF(ISNUMBER(PriceMetrics!L150),10*PriceMetrics!L150,0)))</f>
        <v>50</v>
      </c>
      <c r="I150" s="5" t="n">
        <f aca="false">0.6*IF(NOT(ISNUMBER(PriceMetrics!P150)),50,100*(SUMPRODUCT(($B$2:$B$151=TRUE())*ISNUMBER(PriceMetrics!$P$2:$P$151)*(PriceMetrics!$P$2:$P$151&lt;PriceMetrics!P150))/MAX(1,SUMPRODUCT(($B$2:$B$151=TRUE())*ISNUMBER(PriceMetrics!$P$2:$P$151)))))+0.4*IF(NOT(ISNUMBER(PriceMetrics!H150)),50,IF(PriceMetrics!H150&gt;70,40,IF(PriceMetrics!H150&gt;=50,100,IF(PriceMetrics!H150&gt;=35,60,30))))</f>
        <v>50</v>
      </c>
      <c r="J150" s="5" t="n">
        <f aca="false">AVERAGE(IF(NOT(ISNUMBER(PriceMetrics!F150)),50,100*(1-(SUMPRODUCT(($B$2:$B$151=TRUE())*ISNUMBER(PriceMetrics!$F$2:$F$151)*(PriceMetrics!$F$2:$F$151&lt;PriceMetrics!F150))/MAX(1,SUMPRODUCT(($B$2:$B$151=TRUE())*ISNUMBER(PriceMetrics!$F$2:$F$151)))))),IF(NOT(ISNUMBER(PriceMetrics!G150)),50,100*(1-(SUMPRODUCT(($B$2:$B$151=TRUE())*ISNUMBER(PriceMetrics!$G$2:$G$151)*(ABS(PriceMetrics!$G$2:$G$151)&lt;ABS(PriceMetrics!G150)))/MAX(1,SUMPRODUCT(($B$2:$B$151=TRUE())*ISNUMBER(PriceMetrics!$G$2:$G$151)))))))</f>
        <v>50</v>
      </c>
      <c r="K150" s="5" t="n">
        <f aca="false">AVERAGE(H150:J150)</f>
        <v>50</v>
      </c>
      <c r="L150" s="8" t="n">
        <f aca="false">Macro!$B$26</f>
        <v>53.5</v>
      </c>
      <c r="M150" s="5" t="n">
        <f aca="false">Control!$B$3*100*G150/100+Control!$B$4*K150+Control!$B$5*L150</f>
        <v>50.7</v>
      </c>
      <c r="N150" s="3" t="n">
        <f aca="false">M150+ROW()/1000000</f>
        <v>50.70015</v>
      </c>
      <c r="O150" s="5" t="n">
        <f aca="false">M150-IF(AND(Tickers!D150="SMALLCAP100",Macro!$B$26&lt;40),Control!$B$11,0)</f>
        <v>50.7</v>
      </c>
      <c r="P150" s="3" t="str">
        <f aca="false">IF(B150=FALSE(),"-",IF(O150&gt;=Control!$B$7,"BUY",IF(O150&gt;=Control!$B$8,"ACCUMULATE",IF(O150&gt;=Control!$B$9,"HOLD","AVOID"))))</f>
        <v>-</v>
      </c>
      <c r="Q150" s="3" t="str">
        <f aca="false">IF(B150=FALSE(),"",IF(OR(O150&gt;=72,O150&lt;=32),"High",IF(OR(O150&gt;=62,O150&lt;=42),"Medium","Low")))</f>
        <v/>
      </c>
      <c r="R150" s="12" t="n">
        <f aca="false">IF(P150="BUY",Control!$B$12,IF(P150="ACCUMULATE",Control!$B$13,0))</f>
        <v>0</v>
      </c>
      <c r="S150" s="3" t="str">
        <f aca="false">IF(B150=FALSE(),"",IF(T150=C150,"Rich valuation",IF(T150=E150,"Weak growth",IF(T150=F150,"Balance-sheet leverage",IF(T150=I150,"Negative momentum","High volatility/drawdown")))))</f>
        <v/>
      </c>
      <c r="T150" s="3" t="n">
        <f aca="false">MIN(C150,E150,F150,I150,J150)</f>
        <v>50</v>
      </c>
      <c r="U150" s="3" t="n">
        <f aca="false">IF(B150=TRUE(),N150,-1000+ROW()/1000000)</f>
        <v>-999.99985</v>
      </c>
    </row>
    <row r="151" customFormat="false" ht="15" hidden="false" customHeight="false" outlineLevel="0" collapsed="false">
      <c r="A151" s="7" t="str">
        <f aca="false">Tickers!A151</f>
        <v>ZENSARTECH</v>
      </c>
      <c r="B151" s="19" t="b">
        <f aca="false">Tickers!F151</f>
        <v>0</v>
      </c>
      <c r="C151" s="5" t="n">
        <f aca="false">AVERAGE(IF(NOT(ISNUMBER(Fundamentals!C151)),50,IF(Fundamentals!C151&lt;=0,15,100*(1-(SUMPRODUCT(($B$2:$B$151=TRUE())*ISNUMBER(Fundamentals!$C$2:$C$151)*(Fundamentals!$C$2:$C$151&gt;0)*(Fundamentals!$C$2:$C$151&lt;Fundamentals!C151))/MAX(1,SUMPRODUCT(($B$2:$B$151=TRUE())*ISNUMBER(Fundamentals!$C$2:$C$151)*(Fundamentals!$C$2:$C$151&gt;0))))))),IF(NOT(ISNUMBER(Fundamentals!E151)),50,IF(Fundamentals!E151&lt;=0,15,100*(1-(SUMPRODUCT(($B$2:$B$151=TRUE())*ISNUMBER(Fundamentals!$E$2:$E$151)*(Fundamentals!$E$2:$E$151&gt;0)*(Fundamentals!$E$2:$E$151&lt;Fundamentals!E151))/MAX(1,SUMPRODUCT(($B$2:$B$151=TRUE())*ISNUMBER(Fundamentals!$E$2:$E$151)*(Fundamentals!$E$2:$E$151&gt;0))))))))</f>
        <v>50</v>
      </c>
      <c r="D151" s="5" t="n">
        <f aca="false">AVERAGE(IF(NOT(ISNUMBER(Fundamentals!F151)),50,100*(SUMPRODUCT(($B$2:$B$151=TRUE())*ISNUMBER(Fundamentals!$F$2:$F$151)*(Fundamentals!$F$2:$F$151&lt;Fundamentals!F151))/MAX(1,SUMPRODUCT(($B$2:$B$151=TRUE())*ISNUMBER(Fundamentals!$F$2:$F$151))))),IF(NOT(ISNUMBER(Fundamentals!J151)),50,100*(SUMPRODUCT(($B$2:$B$151=TRUE())*ISNUMBER(Fundamentals!$J$2:$J$151)*(Fundamentals!$J$2:$J$151&lt;Fundamentals!J151))/MAX(1,SUMPRODUCT(($B$2:$B$151=TRUE())*ISNUMBER(Fundamentals!$J$2:$J$151))))))</f>
        <v>50</v>
      </c>
      <c r="E151" s="5" t="n">
        <f aca="false">AVERAGE(IF(NOT(ISNUMBER(Fundamentals!H151)),50,100*(SUMPRODUCT(($B$2:$B$151=TRUE())*ISNUMBER(Fundamentals!$H$2:$H$151)*(Fundamentals!$H$2:$H$151&lt;Fundamentals!H151))/MAX(1,SUMPRODUCT(($B$2:$B$151=TRUE())*ISNUMBER(Fundamentals!$H$2:$H$151))))),IF(NOT(ISNUMBER(Fundamentals!I151)),50,100*(SUMPRODUCT(($B$2:$B$151=TRUE())*ISNUMBER(Fundamentals!$I$2:$I$151)*(Fundamentals!$I$2:$I$151&lt;Fundamentals!I151))/MAX(1,SUMPRODUCT(($B$2:$B$151=TRUE())*ISNUMBER(Fundamentals!$I$2:$I$151))))))</f>
        <v>50</v>
      </c>
      <c r="F151" s="5" t="n">
        <f aca="false">IF(Tickers!C151="Financial Services",50,IF(NOT(ISNUMBER(Fundamentals!G151)),50,100*(1-(SUMPRODUCT(($B$2:$B$151=TRUE())*ISNUMBER(Fundamentals!$G$2:$G$151)*(Fundamentals!$G$2:$G$151&lt;Fundamentals!G151))/MAX(1,SUMPRODUCT(($B$2:$B$151=TRUE())*ISNUMBER(Fundamentals!$G$2:$G$151)))))))</f>
        <v>50</v>
      </c>
      <c r="G151" s="5" t="n">
        <f aca="false">AVERAGE(C151:F151)</f>
        <v>50</v>
      </c>
      <c r="H151" s="5" t="n">
        <f aca="false">MIN(100,MAX(0,IF(NOT(ISNUMBER(PriceMetrics!K151)),50,100*(SUMPRODUCT(($B$2:$B$151=TRUE())*ISNUMBER(PriceMetrics!$K$2:$K$151)*(PriceMetrics!$K$2:$K$151&lt;PriceMetrics!K151))/MAX(1,SUMPRODUCT(($B$2:$B$151=TRUE())*ISNUMBER(PriceMetrics!$K$2:$K$151)))))+IF(ISNUMBER(PriceMetrics!L151),10*PriceMetrics!L151,0)))</f>
        <v>50</v>
      </c>
      <c r="I151" s="5" t="n">
        <f aca="false">0.6*IF(NOT(ISNUMBER(PriceMetrics!P151)),50,100*(SUMPRODUCT(($B$2:$B$151=TRUE())*ISNUMBER(PriceMetrics!$P$2:$P$151)*(PriceMetrics!$P$2:$P$151&lt;PriceMetrics!P151))/MAX(1,SUMPRODUCT(($B$2:$B$151=TRUE())*ISNUMBER(PriceMetrics!$P$2:$P$151)))))+0.4*IF(NOT(ISNUMBER(PriceMetrics!H151)),50,IF(PriceMetrics!H151&gt;70,40,IF(PriceMetrics!H151&gt;=50,100,IF(PriceMetrics!H151&gt;=35,60,30))))</f>
        <v>50</v>
      </c>
      <c r="J151" s="5" t="n">
        <f aca="false">AVERAGE(IF(NOT(ISNUMBER(PriceMetrics!F151)),50,100*(1-(SUMPRODUCT(($B$2:$B$151=TRUE())*ISNUMBER(PriceMetrics!$F$2:$F$151)*(PriceMetrics!$F$2:$F$151&lt;PriceMetrics!F151))/MAX(1,SUMPRODUCT(($B$2:$B$151=TRUE())*ISNUMBER(PriceMetrics!$F$2:$F$151)))))),IF(NOT(ISNUMBER(PriceMetrics!G151)),50,100*(1-(SUMPRODUCT(($B$2:$B$151=TRUE())*ISNUMBER(PriceMetrics!$G$2:$G$151)*(ABS(PriceMetrics!$G$2:$G$151)&lt;ABS(PriceMetrics!G151)))/MAX(1,SUMPRODUCT(($B$2:$B$151=TRUE())*ISNUMBER(PriceMetrics!$G$2:$G$151)))))))</f>
        <v>50</v>
      </c>
      <c r="K151" s="5" t="n">
        <f aca="false">AVERAGE(H151:J151)</f>
        <v>50</v>
      </c>
      <c r="L151" s="8" t="n">
        <f aca="false">Macro!$B$26</f>
        <v>53.5</v>
      </c>
      <c r="M151" s="5" t="n">
        <f aca="false">Control!$B$3*100*G151/100+Control!$B$4*K151+Control!$B$5*L151</f>
        <v>50.7</v>
      </c>
      <c r="N151" s="3" t="n">
        <f aca="false">M151+ROW()/1000000</f>
        <v>50.700151</v>
      </c>
      <c r="O151" s="5" t="n">
        <f aca="false">M151-IF(AND(Tickers!D151="SMALLCAP100",Macro!$B$26&lt;40),Control!$B$11,0)</f>
        <v>50.7</v>
      </c>
      <c r="P151" s="3" t="str">
        <f aca="false">IF(B151=FALSE(),"-",IF(O151&gt;=Control!$B$7,"BUY",IF(O151&gt;=Control!$B$8,"ACCUMULATE",IF(O151&gt;=Control!$B$9,"HOLD","AVOID"))))</f>
        <v>-</v>
      </c>
      <c r="Q151" s="3" t="str">
        <f aca="false">IF(B151=FALSE(),"",IF(OR(O151&gt;=72,O151&lt;=32),"High",IF(OR(O151&gt;=62,O151&lt;=42),"Medium","Low")))</f>
        <v/>
      </c>
      <c r="R151" s="12" t="n">
        <f aca="false">IF(P151="BUY",Control!$B$12,IF(P151="ACCUMULATE",Control!$B$13,0))</f>
        <v>0</v>
      </c>
      <c r="S151" s="3" t="str">
        <f aca="false">IF(B151=FALSE(),"",IF(T151=C151,"Rich valuation",IF(T151=E151,"Weak growth",IF(T151=F151,"Balance-sheet leverage",IF(T151=I151,"Negative momentum","High volatility/drawdown")))))</f>
        <v/>
      </c>
      <c r="T151" s="3" t="n">
        <f aca="false">MIN(C151,E151,F151,I151,J151)</f>
        <v>50</v>
      </c>
      <c r="U151" s="3" t="n">
        <f aca="false">IF(B151=TRUE(),N151,-1000+ROW()/1000000)</f>
        <v>-999.999849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9" min="6" style="0" width="13"/>
    <col collapsed="false" customWidth="true" hidden="false" outlineLevel="0" max="10" min="10" style="0" width="22"/>
    <col collapsed="false" customWidth="true" hidden="false" outlineLevel="0" max="14" min="11" style="0" width="13"/>
  </cols>
  <sheetData>
    <row r="1" customFormat="false" ht="15" hidden="false" customHeight="false" outlineLevel="0" collapsed="false">
      <c r="A1" s="6" t="s">
        <v>467</v>
      </c>
      <c r="B1" s="6" t="s">
        <v>35</v>
      </c>
      <c r="C1" s="6" t="s">
        <v>36</v>
      </c>
      <c r="D1" s="6" t="s">
        <v>468</v>
      </c>
      <c r="E1" s="6" t="s">
        <v>66</v>
      </c>
      <c r="F1" s="6" t="s">
        <v>37</v>
      </c>
      <c r="G1" s="6" t="s">
        <v>463</v>
      </c>
      <c r="H1" s="6" t="s">
        <v>39</v>
      </c>
      <c r="I1" s="6" t="s">
        <v>464</v>
      </c>
      <c r="J1" s="6" t="s">
        <v>40</v>
      </c>
      <c r="K1" s="6" t="s">
        <v>469</v>
      </c>
      <c r="L1" s="6" t="s">
        <v>470</v>
      </c>
      <c r="M1" s="6" t="s">
        <v>410</v>
      </c>
      <c r="N1" s="6" t="s">
        <v>471</v>
      </c>
    </row>
    <row r="2" customFormat="false" ht="15" hidden="false" customHeight="false" outlineLevel="0" collapsed="false">
      <c r="A2" s="3" t="n">
        <v>1</v>
      </c>
      <c r="B2" s="3" t="str">
        <f aca="false">IF(LARGE(Scoring!$U$2:$U$151,$A2)&lt;0,"",INDEX(Scoring!$A$2:$A$151,MATCH(LARGE(Scoring!$U$2:$U$151,$A2),Scoring!$U$2:$U$151,0)))</f>
        <v>YESBANK</v>
      </c>
      <c r="C2" s="3" t="str">
        <f aca="false">IF(LARGE(Scoring!$U$2:$U$151,$A2)&lt;0,"",INDEX(Tickers!$B$2:$B$151,MATCH(LARGE(Scoring!$U$2:$U$151,$A2),Scoring!$U$2:$U$151,0)))</f>
        <v>Yes Bank Ltd.</v>
      </c>
      <c r="D2" s="3" t="str">
        <f aca="false">IF(LARGE(Scoring!$U$2:$U$151,$A2)&lt;0,"",INDEX(Tickers!$D$2:$D$151,MATCH(LARGE(Scoring!$U$2:$U$151,$A2),Scoring!$U$2:$U$151,0)))</f>
        <v>MIDCAP50</v>
      </c>
      <c r="E2" s="3" t="str">
        <f aca="false">IF(LARGE(Scoring!$U$2:$U$151,$A2)&lt;0,"",INDEX(Tickers!$C$2:$C$151,MATCH(LARGE(Scoring!$U$2:$U$151,$A2),Scoring!$U$2:$U$151,0)))</f>
        <v>Financial Services</v>
      </c>
      <c r="F2" s="5" t="n">
        <f aca="false">IF(LARGE(Scoring!$U$2:$U$151,$A2)&lt;0,"",INDEX(Scoring!$M$2:$M$151,MATCH(LARGE(Scoring!$U$2:$U$151,$A2),Scoring!$U$2:$U$151,0)))</f>
        <v>50.7</v>
      </c>
      <c r="G2" s="3" t="str">
        <f aca="false">IF(LARGE(Scoring!$U$2:$U$151,$A2)&lt;0,"",INDEX(Scoring!$P$2:$P$151,MATCH(LARGE(Scoring!$U$2:$U$151,$A2),Scoring!$U$2:$U$151,0)))</f>
        <v>HOLD</v>
      </c>
      <c r="H2" s="3" t="str">
        <f aca="false">IF(LARGE(Scoring!$U$2:$U$151,$A2)&lt;0,"",INDEX(Scoring!$Q$2:$Q$151,MATCH(LARGE(Scoring!$U$2:$U$151,$A2),Scoring!$U$2:$U$151,0)))</f>
        <v>Low</v>
      </c>
      <c r="I2" s="12" t="n">
        <f aca="false">IF(LARGE(Scoring!$U$2:$U$151,$A2)&lt;0,"",INDEX(Scoring!$R$2:$R$151,MATCH(LARGE(Scoring!$U$2:$U$151,$A2),Scoring!$U$2:$U$151,0)))</f>
        <v>0</v>
      </c>
      <c r="J2" s="3" t="str">
        <f aca="false">IF(LARGE(Scoring!$U$2:$U$151,$A2)&lt;0,"",INDEX(Scoring!$S$2:$S$151,MATCH(LARGE(Scoring!$U$2:$U$151,$A2),Scoring!$U$2:$U$151,0)))</f>
        <v>Rich valuation</v>
      </c>
      <c r="K2" s="20" t="n">
        <f aca="false">IF(LARGE(Scoring!$U$2:$U$151,$A2)&lt;0,"",INDEX(PriceMetrics!$B$2:$B$151,MATCH(LARGE(Scoring!$U$2:$U$151,$A2),Scoring!$U$2:$U$151,0)))</f>
        <v>0</v>
      </c>
      <c r="L2" s="5" t="n">
        <f aca="false">IF(LARGE(Scoring!$U$2:$U$151,$A2)&lt;0,"",INDEX(Fundamentals!$C$2:$C$151,MATCH(LARGE(Scoring!$U$2:$U$151,$A2),Scoring!$U$2:$U$151,0)))</f>
        <v>0</v>
      </c>
      <c r="M2" s="12" t="n">
        <f aca="false">IF(LARGE(Scoring!$U$2:$U$151,$A2)&lt;0,"",INDEX(Fundamentals!$F$2:$F$151,MATCH(LARGE(Scoring!$U$2:$U$151,$A2),Scoring!$U$2:$U$151,0)))</f>
        <v>0</v>
      </c>
      <c r="N2" s="12" t="n">
        <f aca="false">IF(LARGE(Scoring!$U$2:$U$151,$A2)&lt;0,"",INDEX(PriceMetrics!$P$2:$P$151,MATCH(LARGE(Scoring!$U$2:$U$151,$A2),Scoring!$U$2:$U$151,0)))</f>
        <v>0</v>
      </c>
    </row>
    <row r="3" customFormat="false" ht="15" hidden="false" customHeight="false" outlineLevel="0" collapsed="false">
      <c r="A3" s="3" t="n">
        <v>2</v>
      </c>
      <c r="B3" s="3" t="str">
        <f aca="false">IF(LARGE(Scoring!$U$2:$U$151,$A3)&lt;0,"",INDEX(Scoring!$A$2:$A$151,MATCH(LARGE(Scoring!$U$2:$U$151,$A3),Scoring!$U$2:$U$151,0)))</f>
        <v>WAAREEENER</v>
      </c>
      <c r="C3" s="3" t="str">
        <f aca="false">IF(LARGE(Scoring!$U$2:$U$151,$A3)&lt;0,"",INDEX(Tickers!$B$2:$B$151,MATCH(LARGE(Scoring!$U$2:$U$151,$A3),Scoring!$U$2:$U$151,0)))</f>
        <v>Waaree Energies Ltd.</v>
      </c>
      <c r="D3" s="3" t="str">
        <f aca="false">IF(LARGE(Scoring!$U$2:$U$151,$A3)&lt;0,"",INDEX(Tickers!$D$2:$D$151,MATCH(LARGE(Scoring!$U$2:$U$151,$A3),Scoring!$U$2:$U$151,0)))</f>
        <v>MIDCAP50</v>
      </c>
      <c r="E3" s="3" t="str">
        <f aca="false">IF(LARGE(Scoring!$U$2:$U$151,$A3)&lt;0,"",INDEX(Tickers!$C$2:$C$151,MATCH(LARGE(Scoring!$U$2:$U$151,$A3),Scoring!$U$2:$U$151,0)))</f>
        <v>Capital Goods</v>
      </c>
      <c r="F3" s="5" t="n">
        <f aca="false">IF(LARGE(Scoring!$U$2:$U$151,$A3)&lt;0,"",INDEX(Scoring!$M$2:$M$151,MATCH(LARGE(Scoring!$U$2:$U$151,$A3),Scoring!$U$2:$U$151,0)))</f>
        <v>50.7</v>
      </c>
      <c r="G3" s="3" t="str">
        <f aca="false">IF(LARGE(Scoring!$U$2:$U$151,$A3)&lt;0,"",INDEX(Scoring!$P$2:$P$151,MATCH(LARGE(Scoring!$U$2:$U$151,$A3),Scoring!$U$2:$U$151,0)))</f>
        <v>HOLD</v>
      </c>
      <c r="H3" s="3" t="str">
        <f aca="false">IF(LARGE(Scoring!$U$2:$U$151,$A3)&lt;0,"",INDEX(Scoring!$Q$2:$Q$151,MATCH(LARGE(Scoring!$U$2:$U$151,$A3),Scoring!$U$2:$U$151,0)))</f>
        <v>Low</v>
      </c>
      <c r="I3" s="12" t="n">
        <f aca="false">IF(LARGE(Scoring!$U$2:$U$151,$A3)&lt;0,"",INDEX(Scoring!$R$2:$R$151,MATCH(LARGE(Scoring!$U$2:$U$151,$A3),Scoring!$U$2:$U$151,0)))</f>
        <v>0</v>
      </c>
      <c r="J3" s="3" t="str">
        <f aca="false">IF(LARGE(Scoring!$U$2:$U$151,$A3)&lt;0,"",INDEX(Scoring!$S$2:$S$151,MATCH(LARGE(Scoring!$U$2:$U$151,$A3),Scoring!$U$2:$U$151,0)))</f>
        <v>Rich valuation</v>
      </c>
      <c r="K3" s="20" t="n">
        <f aca="false">IF(LARGE(Scoring!$U$2:$U$151,$A3)&lt;0,"",INDEX(PriceMetrics!$B$2:$B$151,MATCH(LARGE(Scoring!$U$2:$U$151,$A3),Scoring!$U$2:$U$151,0)))</f>
        <v>0</v>
      </c>
      <c r="L3" s="5" t="n">
        <f aca="false">IF(LARGE(Scoring!$U$2:$U$151,$A3)&lt;0,"",INDEX(Fundamentals!$C$2:$C$151,MATCH(LARGE(Scoring!$U$2:$U$151,$A3),Scoring!$U$2:$U$151,0)))</f>
        <v>0</v>
      </c>
      <c r="M3" s="12" t="n">
        <f aca="false">IF(LARGE(Scoring!$U$2:$U$151,$A3)&lt;0,"",INDEX(Fundamentals!$F$2:$F$151,MATCH(LARGE(Scoring!$U$2:$U$151,$A3),Scoring!$U$2:$U$151,0)))</f>
        <v>0</v>
      </c>
      <c r="N3" s="12" t="n">
        <f aca="false">IF(LARGE(Scoring!$U$2:$U$151,$A3)&lt;0,"",INDEX(PriceMetrics!$P$2:$P$151,MATCH(LARGE(Scoring!$U$2:$U$151,$A3),Scoring!$U$2:$U$151,0)))</f>
        <v>0</v>
      </c>
    </row>
    <row r="4" customFormat="false" ht="15" hidden="false" customHeight="false" outlineLevel="0" collapsed="false">
      <c r="A4" s="3" t="n">
        <v>3</v>
      </c>
      <c r="B4" s="3" t="str">
        <f aca="false">IF(LARGE(Scoring!$U$2:$U$151,$A4)&lt;0,"",INDEX(Scoring!$A$2:$A$151,MATCH(LARGE(Scoring!$U$2:$U$151,$A4),Scoring!$U$2:$U$151,0)))</f>
        <v>UPL</v>
      </c>
      <c r="C4" s="3" t="str">
        <f aca="false">IF(LARGE(Scoring!$U$2:$U$151,$A4)&lt;0,"",INDEX(Tickers!$B$2:$B$151,MATCH(LARGE(Scoring!$U$2:$U$151,$A4),Scoring!$U$2:$U$151,0)))</f>
        <v>UPL Ltd.</v>
      </c>
      <c r="D4" s="3" t="str">
        <f aca="false">IF(LARGE(Scoring!$U$2:$U$151,$A4)&lt;0,"",INDEX(Tickers!$D$2:$D$151,MATCH(LARGE(Scoring!$U$2:$U$151,$A4),Scoring!$U$2:$U$151,0)))</f>
        <v>MIDCAP50</v>
      </c>
      <c r="E4" s="3" t="str">
        <f aca="false">IF(LARGE(Scoring!$U$2:$U$151,$A4)&lt;0,"",INDEX(Tickers!$C$2:$C$151,MATCH(LARGE(Scoring!$U$2:$U$151,$A4),Scoring!$U$2:$U$151,0)))</f>
        <v>Chemicals</v>
      </c>
      <c r="F4" s="5" t="n">
        <f aca="false">IF(LARGE(Scoring!$U$2:$U$151,$A4)&lt;0,"",INDEX(Scoring!$M$2:$M$151,MATCH(LARGE(Scoring!$U$2:$U$151,$A4),Scoring!$U$2:$U$151,0)))</f>
        <v>50.7</v>
      </c>
      <c r="G4" s="3" t="str">
        <f aca="false">IF(LARGE(Scoring!$U$2:$U$151,$A4)&lt;0,"",INDEX(Scoring!$P$2:$P$151,MATCH(LARGE(Scoring!$U$2:$U$151,$A4),Scoring!$U$2:$U$151,0)))</f>
        <v>HOLD</v>
      </c>
      <c r="H4" s="3" t="str">
        <f aca="false">IF(LARGE(Scoring!$U$2:$U$151,$A4)&lt;0,"",INDEX(Scoring!$Q$2:$Q$151,MATCH(LARGE(Scoring!$U$2:$U$151,$A4),Scoring!$U$2:$U$151,0)))</f>
        <v>Low</v>
      </c>
      <c r="I4" s="12" t="n">
        <f aca="false">IF(LARGE(Scoring!$U$2:$U$151,$A4)&lt;0,"",INDEX(Scoring!$R$2:$R$151,MATCH(LARGE(Scoring!$U$2:$U$151,$A4),Scoring!$U$2:$U$151,0)))</f>
        <v>0</v>
      </c>
      <c r="J4" s="3" t="str">
        <f aca="false">IF(LARGE(Scoring!$U$2:$U$151,$A4)&lt;0,"",INDEX(Scoring!$S$2:$S$151,MATCH(LARGE(Scoring!$U$2:$U$151,$A4),Scoring!$U$2:$U$151,0)))</f>
        <v>Rich valuation</v>
      </c>
      <c r="K4" s="20" t="n">
        <f aca="false">IF(LARGE(Scoring!$U$2:$U$151,$A4)&lt;0,"",INDEX(PriceMetrics!$B$2:$B$151,MATCH(LARGE(Scoring!$U$2:$U$151,$A4),Scoring!$U$2:$U$151,0)))</f>
        <v>0</v>
      </c>
      <c r="L4" s="5" t="n">
        <f aca="false">IF(LARGE(Scoring!$U$2:$U$151,$A4)&lt;0,"",INDEX(Fundamentals!$C$2:$C$151,MATCH(LARGE(Scoring!$U$2:$U$151,$A4),Scoring!$U$2:$U$151,0)))</f>
        <v>0</v>
      </c>
      <c r="M4" s="12" t="n">
        <f aca="false">IF(LARGE(Scoring!$U$2:$U$151,$A4)&lt;0,"",INDEX(Fundamentals!$F$2:$F$151,MATCH(LARGE(Scoring!$U$2:$U$151,$A4),Scoring!$U$2:$U$151,0)))</f>
        <v>0</v>
      </c>
      <c r="N4" s="12" t="n">
        <f aca="false">IF(LARGE(Scoring!$U$2:$U$151,$A4)&lt;0,"",INDEX(PriceMetrics!$P$2:$P$151,MATCH(LARGE(Scoring!$U$2:$U$151,$A4),Scoring!$U$2:$U$151,0)))</f>
        <v>0</v>
      </c>
    </row>
    <row r="5" customFormat="false" ht="15" hidden="false" customHeight="false" outlineLevel="0" collapsed="false">
      <c r="A5" s="3" t="n">
        <v>4</v>
      </c>
      <c r="B5" s="3" t="str">
        <f aca="false">IF(LARGE(Scoring!$U$2:$U$151,$A5)&lt;0,"",INDEX(Scoring!$A$2:$A$151,MATCH(LARGE(Scoring!$U$2:$U$151,$A5),Scoring!$U$2:$U$151,0)))</f>
        <v>TIINDIA</v>
      </c>
      <c r="C5" s="3" t="str">
        <f aca="false">IF(LARGE(Scoring!$U$2:$U$151,$A5)&lt;0,"",INDEX(Tickers!$B$2:$B$151,MATCH(LARGE(Scoring!$U$2:$U$151,$A5),Scoring!$U$2:$U$151,0)))</f>
        <v>Tube Investments of India Ltd.</v>
      </c>
      <c r="D5" s="3" t="str">
        <f aca="false">IF(LARGE(Scoring!$U$2:$U$151,$A5)&lt;0,"",INDEX(Tickers!$D$2:$D$151,MATCH(LARGE(Scoring!$U$2:$U$151,$A5),Scoring!$U$2:$U$151,0)))</f>
        <v>MIDCAP50</v>
      </c>
      <c r="E5" s="3" t="str">
        <f aca="false">IF(LARGE(Scoring!$U$2:$U$151,$A5)&lt;0,"",INDEX(Tickers!$C$2:$C$151,MATCH(LARGE(Scoring!$U$2:$U$151,$A5),Scoring!$U$2:$U$151,0)))</f>
        <v>Automobile and Auto Components</v>
      </c>
      <c r="F5" s="5" t="n">
        <f aca="false">IF(LARGE(Scoring!$U$2:$U$151,$A5)&lt;0,"",INDEX(Scoring!$M$2:$M$151,MATCH(LARGE(Scoring!$U$2:$U$151,$A5),Scoring!$U$2:$U$151,0)))</f>
        <v>50.7</v>
      </c>
      <c r="G5" s="3" t="str">
        <f aca="false">IF(LARGE(Scoring!$U$2:$U$151,$A5)&lt;0,"",INDEX(Scoring!$P$2:$P$151,MATCH(LARGE(Scoring!$U$2:$U$151,$A5),Scoring!$U$2:$U$151,0)))</f>
        <v>HOLD</v>
      </c>
      <c r="H5" s="3" t="str">
        <f aca="false">IF(LARGE(Scoring!$U$2:$U$151,$A5)&lt;0,"",INDEX(Scoring!$Q$2:$Q$151,MATCH(LARGE(Scoring!$U$2:$U$151,$A5),Scoring!$U$2:$U$151,0)))</f>
        <v>Low</v>
      </c>
      <c r="I5" s="12" t="n">
        <f aca="false">IF(LARGE(Scoring!$U$2:$U$151,$A5)&lt;0,"",INDEX(Scoring!$R$2:$R$151,MATCH(LARGE(Scoring!$U$2:$U$151,$A5),Scoring!$U$2:$U$151,0)))</f>
        <v>0</v>
      </c>
      <c r="J5" s="3" t="str">
        <f aca="false">IF(LARGE(Scoring!$U$2:$U$151,$A5)&lt;0,"",INDEX(Scoring!$S$2:$S$151,MATCH(LARGE(Scoring!$U$2:$U$151,$A5),Scoring!$U$2:$U$151,0)))</f>
        <v>Rich valuation</v>
      </c>
      <c r="K5" s="20" t="n">
        <f aca="false">IF(LARGE(Scoring!$U$2:$U$151,$A5)&lt;0,"",INDEX(PriceMetrics!$B$2:$B$151,MATCH(LARGE(Scoring!$U$2:$U$151,$A5),Scoring!$U$2:$U$151,0)))</f>
        <v>0</v>
      </c>
      <c r="L5" s="5" t="n">
        <f aca="false">IF(LARGE(Scoring!$U$2:$U$151,$A5)&lt;0,"",INDEX(Fundamentals!$C$2:$C$151,MATCH(LARGE(Scoring!$U$2:$U$151,$A5),Scoring!$U$2:$U$151,0)))</f>
        <v>0</v>
      </c>
      <c r="M5" s="12" t="n">
        <f aca="false">IF(LARGE(Scoring!$U$2:$U$151,$A5)&lt;0,"",INDEX(Fundamentals!$F$2:$F$151,MATCH(LARGE(Scoring!$U$2:$U$151,$A5),Scoring!$U$2:$U$151,0)))</f>
        <v>0</v>
      </c>
      <c r="N5" s="12" t="n">
        <f aca="false">IF(LARGE(Scoring!$U$2:$U$151,$A5)&lt;0,"",INDEX(PriceMetrics!$P$2:$P$151,MATCH(LARGE(Scoring!$U$2:$U$151,$A5),Scoring!$U$2:$U$151,0)))</f>
        <v>0</v>
      </c>
    </row>
    <row r="6" customFormat="false" ht="15" hidden="false" customHeight="false" outlineLevel="0" collapsed="false">
      <c r="A6" s="3" t="n">
        <v>5</v>
      </c>
      <c r="B6" s="3" t="str">
        <f aca="false">IF(LARGE(Scoring!$U$2:$U$151,$A6)&lt;0,"",INDEX(Scoring!$A$2:$A$151,MATCH(LARGE(Scoring!$U$2:$U$151,$A6),Scoring!$U$2:$U$151,0)))</f>
        <v>SWIGGY</v>
      </c>
      <c r="C6" s="3" t="str">
        <f aca="false">IF(LARGE(Scoring!$U$2:$U$151,$A6)&lt;0,"",INDEX(Tickers!$B$2:$B$151,MATCH(LARGE(Scoring!$U$2:$U$151,$A6),Scoring!$U$2:$U$151,0)))</f>
        <v>Swiggy Ltd.</v>
      </c>
      <c r="D6" s="3" t="str">
        <f aca="false">IF(LARGE(Scoring!$U$2:$U$151,$A6)&lt;0,"",INDEX(Tickers!$D$2:$D$151,MATCH(LARGE(Scoring!$U$2:$U$151,$A6),Scoring!$U$2:$U$151,0)))</f>
        <v>MIDCAP50</v>
      </c>
      <c r="E6" s="3" t="str">
        <f aca="false">IF(LARGE(Scoring!$U$2:$U$151,$A6)&lt;0,"",INDEX(Tickers!$C$2:$C$151,MATCH(LARGE(Scoring!$U$2:$U$151,$A6),Scoring!$U$2:$U$151,0)))</f>
        <v>Consumer Services</v>
      </c>
      <c r="F6" s="5" t="n">
        <f aca="false">IF(LARGE(Scoring!$U$2:$U$151,$A6)&lt;0,"",INDEX(Scoring!$M$2:$M$151,MATCH(LARGE(Scoring!$U$2:$U$151,$A6),Scoring!$U$2:$U$151,0)))</f>
        <v>50.7</v>
      </c>
      <c r="G6" s="3" t="str">
        <f aca="false">IF(LARGE(Scoring!$U$2:$U$151,$A6)&lt;0,"",INDEX(Scoring!$P$2:$P$151,MATCH(LARGE(Scoring!$U$2:$U$151,$A6),Scoring!$U$2:$U$151,0)))</f>
        <v>HOLD</v>
      </c>
      <c r="H6" s="3" t="str">
        <f aca="false">IF(LARGE(Scoring!$U$2:$U$151,$A6)&lt;0,"",INDEX(Scoring!$Q$2:$Q$151,MATCH(LARGE(Scoring!$U$2:$U$151,$A6),Scoring!$U$2:$U$151,0)))</f>
        <v>Low</v>
      </c>
      <c r="I6" s="12" t="n">
        <f aca="false">IF(LARGE(Scoring!$U$2:$U$151,$A6)&lt;0,"",INDEX(Scoring!$R$2:$R$151,MATCH(LARGE(Scoring!$U$2:$U$151,$A6),Scoring!$U$2:$U$151,0)))</f>
        <v>0</v>
      </c>
      <c r="J6" s="3" t="str">
        <f aca="false">IF(LARGE(Scoring!$U$2:$U$151,$A6)&lt;0,"",INDEX(Scoring!$S$2:$S$151,MATCH(LARGE(Scoring!$U$2:$U$151,$A6),Scoring!$U$2:$U$151,0)))</f>
        <v>Rich valuation</v>
      </c>
      <c r="K6" s="20" t="n">
        <f aca="false">IF(LARGE(Scoring!$U$2:$U$151,$A6)&lt;0,"",INDEX(PriceMetrics!$B$2:$B$151,MATCH(LARGE(Scoring!$U$2:$U$151,$A6),Scoring!$U$2:$U$151,0)))</f>
        <v>0</v>
      </c>
      <c r="L6" s="5" t="n">
        <f aca="false">IF(LARGE(Scoring!$U$2:$U$151,$A6)&lt;0,"",INDEX(Fundamentals!$C$2:$C$151,MATCH(LARGE(Scoring!$U$2:$U$151,$A6),Scoring!$U$2:$U$151,0)))</f>
        <v>0</v>
      </c>
      <c r="M6" s="12" t="n">
        <f aca="false">IF(LARGE(Scoring!$U$2:$U$151,$A6)&lt;0,"",INDEX(Fundamentals!$F$2:$F$151,MATCH(LARGE(Scoring!$U$2:$U$151,$A6),Scoring!$U$2:$U$151,0)))</f>
        <v>0</v>
      </c>
      <c r="N6" s="12" t="n">
        <f aca="false">IF(LARGE(Scoring!$U$2:$U$151,$A6)&lt;0,"",INDEX(PriceMetrics!$P$2:$P$151,MATCH(LARGE(Scoring!$U$2:$U$151,$A6),Scoring!$U$2:$U$151,0)))</f>
        <v>0</v>
      </c>
    </row>
    <row r="7" customFormat="false" ht="15" hidden="false" customHeight="false" outlineLevel="0" collapsed="false">
      <c r="A7" s="3" t="n">
        <v>6</v>
      </c>
      <c r="B7" s="3" t="str">
        <f aca="false">IF(LARGE(Scoring!$U$2:$U$151,$A7)&lt;0,"",INDEX(Scoring!$A$2:$A$151,MATCH(LARGE(Scoring!$U$2:$U$151,$A7),Scoring!$U$2:$U$151,0)))</f>
        <v>SUZLON</v>
      </c>
      <c r="C7" s="3" t="str">
        <f aca="false">IF(LARGE(Scoring!$U$2:$U$151,$A7)&lt;0,"",INDEX(Tickers!$B$2:$B$151,MATCH(LARGE(Scoring!$U$2:$U$151,$A7),Scoring!$U$2:$U$151,0)))</f>
        <v>Suzlon Energy Ltd.</v>
      </c>
      <c r="D7" s="3" t="str">
        <f aca="false">IF(LARGE(Scoring!$U$2:$U$151,$A7)&lt;0,"",INDEX(Tickers!$D$2:$D$151,MATCH(LARGE(Scoring!$U$2:$U$151,$A7),Scoring!$U$2:$U$151,0)))</f>
        <v>MIDCAP50</v>
      </c>
      <c r="E7" s="3" t="str">
        <f aca="false">IF(LARGE(Scoring!$U$2:$U$151,$A7)&lt;0,"",INDEX(Tickers!$C$2:$C$151,MATCH(LARGE(Scoring!$U$2:$U$151,$A7),Scoring!$U$2:$U$151,0)))</f>
        <v>Capital Goods</v>
      </c>
      <c r="F7" s="5" t="n">
        <f aca="false">IF(LARGE(Scoring!$U$2:$U$151,$A7)&lt;0,"",INDEX(Scoring!$M$2:$M$151,MATCH(LARGE(Scoring!$U$2:$U$151,$A7),Scoring!$U$2:$U$151,0)))</f>
        <v>50.7</v>
      </c>
      <c r="G7" s="3" t="str">
        <f aca="false">IF(LARGE(Scoring!$U$2:$U$151,$A7)&lt;0,"",INDEX(Scoring!$P$2:$P$151,MATCH(LARGE(Scoring!$U$2:$U$151,$A7),Scoring!$U$2:$U$151,0)))</f>
        <v>HOLD</v>
      </c>
      <c r="H7" s="3" t="str">
        <f aca="false">IF(LARGE(Scoring!$U$2:$U$151,$A7)&lt;0,"",INDEX(Scoring!$Q$2:$Q$151,MATCH(LARGE(Scoring!$U$2:$U$151,$A7),Scoring!$U$2:$U$151,0)))</f>
        <v>Low</v>
      </c>
      <c r="I7" s="12" t="n">
        <f aca="false">IF(LARGE(Scoring!$U$2:$U$151,$A7)&lt;0,"",INDEX(Scoring!$R$2:$R$151,MATCH(LARGE(Scoring!$U$2:$U$151,$A7),Scoring!$U$2:$U$151,0)))</f>
        <v>0</v>
      </c>
      <c r="J7" s="3" t="str">
        <f aca="false">IF(LARGE(Scoring!$U$2:$U$151,$A7)&lt;0,"",INDEX(Scoring!$S$2:$S$151,MATCH(LARGE(Scoring!$U$2:$U$151,$A7),Scoring!$U$2:$U$151,0)))</f>
        <v>Rich valuation</v>
      </c>
      <c r="K7" s="20" t="n">
        <f aca="false">IF(LARGE(Scoring!$U$2:$U$151,$A7)&lt;0,"",INDEX(PriceMetrics!$B$2:$B$151,MATCH(LARGE(Scoring!$U$2:$U$151,$A7),Scoring!$U$2:$U$151,0)))</f>
        <v>0</v>
      </c>
      <c r="L7" s="5" t="n">
        <f aca="false">IF(LARGE(Scoring!$U$2:$U$151,$A7)&lt;0,"",INDEX(Fundamentals!$C$2:$C$151,MATCH(LARGE(Scoring!$U$2:$U$151,$A7),Scoring!$U$2:$U$151,0)))</f>
        <v>0</v>
      </c>
      <c r="M7" s="12" t="n">
        <f aca="false">IF(LARGE(Scoring!$U$2:$U$151,$A7)&lt;0,"",INDEX(Fundamentals!$F$2:$F$151,MATCH(LARGE(Scoring!$U$2:$U$151,$A7),Scoring!$U$2:$U$151,0)))</f>
        <v>0</v>
      </c>
      <c r="N7" s="12" t="n">
        <f aca="false">IF(LARGE(Scoring!$U$2:$U$151,$A7)&lt;0,"",INDEX(PriceMetrics!$P$2:$P$151,MATCH(LARGE(Scoring!$U$2:$U$151,$A7),Scoring!$U$2:$U$151,0)))</f>
        <v>0</v>
      </c>
    </row>
    <row r="8" customFormat="false" ht="15" hidden="false" customHeight="false" outlineLevel="0" collapsed="false">
      <c r="A8" s="3" t="n">
        <v>7</v>
      </c>
      <c r="B8" s="3" t="str">
        <f aca="false">IF(LARGE(Scoring!$U$2:$U$151,$A8)&lt;0,"",INDEX(Scoring!$A$2:$A$151,MATCH(LARGE(Scoring!$U$2:$U$151,$A8),Scoring!$U$2:$U$151,0)))</f>
        <v>SUPREMEIND</v>
      </c>
      <c r="C8" s="3" t="str">
        <f aca="false">IF(LARGE(Scoring!$U$2:$U$151,$A8)&lt;0,"",INDEX(Tickers!$B$2:$B$151,MATCH(LARGE(Scoring!$U$2:$U$151,$A8),Scoring!$U$2:$U$151,0)))</f>
        <v>Supreme Industries Ltd.</v>
      </c>
      <c r="D8" s="3" t="str">
        <f aca="false">IF(LARGE(Scoring!$U$2:$U$151,$A8)&lt;0,"",INDEX(Tickers!$D$2:$D$151,MATCH(LARGE(Scoring!$U$2:$U$151,$A8),Scoring!$U$2:$U$151,0)))</f>
        <v>MIDCAP50</v>
      </c>
      <c r="E8" s="3" t="str">
        <f aca="false">IF(LARGE(Scoring!$U$2:$U$151,$A8)&lt;0,"",INDEX(Tickers!$C$2:$C$151,MATCH(LARGE(Scoring!$U$2:$U$151,$A8),Scoring!$U$2:$U$151,0)))</f>
        <v>Capital Goods</v>
      </c>
      <c r="F8" s="5" t="n">
        <f aca="false">IF(LARGE(Scoring!$U$2:$U$151,$A8)&lt;0,"",INDEX(Scoring!$M$2:$M$151,MATCH(LARGE(Scoring!$U$2:$U$151,$A8),Scoring!$U$2:$U$151,0)))</f>
        <v>50.7</v>
      </c>
      <c r="G8" s="3" t="str">
        <f aca="false">IF(LARGE(Scoring!$U$2:$U$151,$A8)&lt;0,"",INDEX(Scoring!$P$2:$P$151,MATCH(LARGE(Scoring!$U$2:$U$151,$A8),Scoring!$U$2:$U$151,0)))</f>
        <v>HOLD</v>
      </c>
      <c r="H8" s="3" t="str">
        <f aca="false">IF(LARGE(Scoring!$U$2:$U$151,$A8)&lt;0,"",INDEX(Scoring!$Q$2:$Q$151,MATCH(LARGE(Scoring!$U$2:$U$151,$A8),Scoring!$U$2:$U$151,0)))</f>
        <v>Low</v>
      </c>
      <c r="I8" s="12" t="n">
        <f aca="false">IF(LARGE(Scoring!$U$2:$U$151,$A8)&lt;0,"",INDEX(Scoring!$R$2:$R$151,MATCH(LARGE(Scoring!$U$2:$U$151,$A8),Scoring!$U$2:$U$151,0)))</f>
        <v>0</v>
      </c>
      <c r="J8" s="3" t="str">
        <f aca="false">IF(LARGE(Scoring!$U$2:$U$151,$A8)&lt;0,"",INDEX(Scoring!$S$2:$S$151,MATCH(LARGE(Scoring!$U$2:$U$151,$A8),Scoring!$U$2:$U$151,0)))</f>
        <v>Rich valuation</v>
      </c>
      <c r="K8" s="20" t="n">
        <f aca="false">IF(LARGE(Scoring!$U$2:$U$151,$A8)&lt;0,"",INDEX(PriceMetrics!$B$2:$B$151,MATCH(LARGE(Scoring!$U$2:$U$151,$A8),Scoring!$U$2:$U$151,0)))</f>
        <v>0</v>
      </c>
      <c r="L8" s="5" t="n">
        <f aca="false">IF(LARGE(Scoring!$U$2:$U$151,$A8)&lt;0,"",INDEX(Fundamentals!$C$2:$C$151,MATCH(LARGE(Scoring!$U$2:$U$151,$A8),Scoring!$U$2:$U$151,0)))</f>
        <v>0</v>
      </c>
      <c r="M8" s="12" t="n">
        <f aca="false">IF(LARGE(Scoring!$U$2:$U$151,$A8)&lt;0,"",INDEX(Fundamentals!$F$2:$F$151,MATCH(LARGE(Scoring!$U$2:$U$151,$A8),Scoring!$U$2:$U$151,0)))</f>
        <v>0</v>
      </c>
      <c r="N8" s="12" t="n">
        <f aca="false">IF(LARGE(Scoring!$U$2:$U$151,$A8)&lt;0,"",INDEX(PriceMetrics!$P$2:$P$151,MATCH(LARGE(Scoring!$U$2:$U$151,$A8),Scoring!$U$2:$U$151,0)))</f>
        <v>0</v>
      </c>
    </row>
    <row r="9" customFormat="false" ht="15" hidden="false" customHeight="false" outlineLevel="0" collapsed="false">
      <c r="A9" s="3" t="n">
        <v>8</v>
      </c>
      <c r="B9" s="3" t="str">
        <f aca="false">IF(LARGE(Scoring!$U$2:$U$151,$A9)&lt;0,"",INDEX(Scoring!$A$2:$A$151,MATCH(LARGE(Scoring!$U$2:$U$151,$A9),Scoring!$U$2:$U$151,0)))</f>
        <v>SRF</v>
      </c>
      <c r="C9" s="3" t="str">
        <f aca="false">IF(LARGE(Scoring!$U$2:$U$151,$A9)&lt;0,"",INDEX(Tickers!$B$2:$B$151,MATCH(LARGE(Scoring!$U$2:$U$151,$A9),Scoring!$U$2:$U$151,0)))</f>
        <v>SRF Ltd.</v>
      </c>
      <c r="D9" s="3" t="str">
        <f aca="false">IF(LARGE(Scoring!$U$2:$U$151,$A9)&lt;0,"",INDEX(Tickers!$D$2:$D$151,MATCH(LARGE(Scoring!$U$2:$U$151,$A9),Scoring!$U$2:$U$151,0)))</f>
        <v>MIDCAP50</v>
      </c>
      <c r="E9" s="3" t="str">
        <f aca="false">IF(LARGE(Scoring!$U$2:$U$151,$A9)&lt;0,"",INDEX(Tickers!$C$2:$C$151,MATCH(LARGE(Scoring!$U$2:$U$151,$A9),Scoring!$U$2:$U$151,0)))</f>
        <v>Chemicals</v>
      </c>
      <c r="F9" s="5" t="n">
        <f aca="false">IF(LARGE(Scoring!$U$2:$U$151,$A9)&lt;0,"",INDEX(Scoring!$M$2:$M$151,MATCH(LARGE(Scoring!$U$2:$U$151,$A9),Scoring!$U$2:$U$151,0)))</f>
        <v>50.7</v>
      </c>
      <c r="G9" s="3" t="str">
        <f aca="false">IF(LARGE(Scoring!$U$2:$U$151,$A9)&lt;0,"",INDEX(Scoring!$P$2:$P$151,MATCH(LARGE(Scoring!$U$2:$U$151,$A9),Scoring!$U$2:$U$151,0)))</f>
        <v>HOLD</v>
      </c>
      <c r="H9" s="3" t="str">
        <f aca="false">IF(LARGE(Scoring!$U$2:$U$151,$A9)&lt;0,"",INDEX(Scoring!$Q$2:$Q$151,MATCH(LARGE(Scoring!$U$2:$U$151,$A9),Scoring!$U$2:$U$151,0)))</f>
        <v>Low</v>
      </c>
      <c r="I9" s="12" t="n">
        <f aca="false">IF(LARGE(Scoring!$U$2:$U$151,$A9)&lt;0,"",INDEX(Scoring!$R$2:$R$151,MATCH(LARGE(Scoring!$U$2:$U$151,$A9),Scoring!$U$2:$U$151,0)))</f>
        <v>0</v>
      </c>
      <c r="J9" s="3" t="str">
        <f aca="false">IF(LARGE(Scoring!$U$2:$U$151,$A9)&lt;0,"",INDEX(Scoring!$S$2:$S$151,MATCH(LARGE(Scoring!$U$2:$U$151,$A9),Scoring!$U$2:$U$151,0)))</f>
        <v>Rich valuation</v>
      </c>
      <c r="K9" s="20" t="n">
        <f aca="false">IF(LARGE(Scoring!$U$2:$U$151,$A9)&lt;0,"",INDEX(PriceMetrics!$B$2:$B$151,MATCH(LARGE(Scoring!$U$2:$U$151,$A9),Scoring!$U$2:$U$151,0)))</f>
        <v>0</v>
      </c>
      <c r="L9" s="5" t="n">
        <f aca="false">IF(LARGE(Scoring!$U$2:$U$151,$A9)&lt;0,"",INDEX(Fundamentals!$C$2:$C$151,MATCH(LARGE(Scoring!$U$2:$U$151,$A9),Scoring!$U$2:$U$151,0)))</f>
        <v>0</v>
      </c>
      <c r="M9" s="12" t="n">
        <f aca="false">IF(LARGE(Scoring!$U$2:$U$151,$A9)&lt;0,"",INDEX(Fundamentals!$F$2:$F$151,MATCH(LARGE(Scoring!$U$2:$U$151,$A9),Scoring!$U$2:$U$151,0)))</f>
        <v>0</v>
      </c>
      <c r="N9" s="12" t="n">
        <f aca="false">IF(LARGE(Scoring!$U$2:$U$151,$A9)&lt;0,"",INDEX(PriceMetrics!$P$2:$P$151,MATCH(LARGE(Scoring!$U$2:$U$151,$A9),Scoring!$U$2:$U$151,0)))</f>
        <v>0</v>
      </c>
    </row>
    <row r="10" customFormat="false" ht="15" hidden="false" customHeight="false" outlineLevel="0" collapsed="false">
      <c r="A10" s="3" t="n">
        <v>9</v>
      </c>
      <c r="B10" s="3" t="str">
        <f aca="false">IF(LARGE(Scoring!$U$2:$U$151,$A10)&lt;0,"",INDEX(Scoring!$A$2:$A$151,MATCH(LARGE(Scoring!$U$2:$U$151,$A10),Scoring!$U$2:$U$151,0)))</f>
        <v>SBICARD</v>
      </c>
      <c r="C10" s="3" t="str">
        <f aca="false">IF(LARGE(Scoring!$U$2:$U$151,$A10)&lt;0,"",INDEX(Tickers!$B$2:$B$151,MATCH(LARGE(Scoring!$U$2:$U$151,$A10),Scoring!$U$2:$U$151,0)))</f>
        <v>SBI Cards and Payment Services Ltd.</v>
      </c>
      <c r="D10" s="3" t="str">
        <f aca="false">IF(LARGE(Scoring!$U$2:$U$151,$A10)&lt;0,"",INDEX(Tickers!$D$2:$D$151,MATCH(LARGE(Scoring!$U$2:$U$151,$A10),Scoring!$U$2:$U$151,0)))</f>
        <v>MIDCAP50</v>
      </c>
      <c r="E10" s="3" t="str">
        <f aca="false">IF(LARGE(Scoring!$U$2:$U$151,$A10)&lt;0,"",INDEX(Tickers!$C$2:$C$151,MATCH(LARGE(Scoring!$U$2:$U$151,$A10),Scoring!$U$2:$U$151,0)))</f>
        <v>Financial Services</v>
      </c>
      <c r="F10" s="5" t="n">
        <f aca="false">IF(LARGE(Scoring!$U$2:$U$151,$A10)&lt;0,"",INDEX(Scoring!$M$2:$M$151,MATCH(LARGE(Scoring!$U$2:$U$151,$A10),Scoring!$U$2:$U$151,0)))</f>
        <v>50.7</v>
      </c>
      <c r="G10" s="3" t="str">
        <f aca="false">IF(LARGE(Scoring!$U$2:$U$151,$A10)&lt;0,"",INDEX(Scoring!$P$2:$P$151,MATCH(LARGE(Scoring!$U$2:$U$151,$A10),Scoring!$U$2:$U$151,0)))</f>
        <v>HOLD</v>
      </c>
      <c r="H10" s="3" t="str">
        <f aca="false">IF(LARGE(Scoring!$U$2:$U$151,$A10)&lt;0,"",INDEX(Scoring!$Q$2:$Q$151,MATCH(LARGE(Scoring!$U$2:$U$151,$A10),Scoring!$U$2:$U$151,0)))</f>
        <v>Low</v>
      </c>
      <c r="I10" s="12" t="n">
        <f aca="false">IF(LARGE(Scoring!$U$2:$U$151,$A10)&lt;0,"",INDEX(Scoring!$R$2:$R$151,MATCH(LARGE(Scoring!$U$2:$U$151,$A10),Scoring!$U$2:$U$151,0)))</f>
        <v>0</v>
      </c>
      <c r="J10" s="3" t="str">
        <f aca="false">IF(LARGE(Scoring!$U$2:$U$151,$A10)&lt;0,"",INDEX(Scoring!$S$2:$S$151,MATCH(LARGE(Scoring!$U$2:$U$151,$A10),Scoring!$U$2:$U$151,0)))</f>
        <v>Rich valuation</v>
      </c>
      <c r="K10" s="20" t="n">
        <f aca="false">IF(LARGE(Scoring!$U$2:$U$151,$A10)&lt;0,"",INDEX(PriceMetrics!$B$2:$B$151,MATCH(LARGE(Scoring!$U$2:$U$151,$A10),Scoring!$U$2:$U$151,0)))</f>
        <v>0</v>
      </c>
      <c r="L10" s="5" t="n">
        <f aca="false">IF(LARGE(Scoring!$U$2:$U$151,$A10)&lt;0,"",INDEX(Fundamentals!$C$2:$C$151,MATCH(LARGE(Scoring!$U$2:$U$151,$A10),Scoring!$U$2:$U$151,0)))</f>
        <v>0</v>
      </c>
      <c r="M10" s="12" t="n">
        <f aca="false">IF(LARGE(Scoring!$U$2:$U$151,$A10)&lt;0,"",INDEX(Fundamentals!$F$2:$F$151,MATCH(LARGE(Scoring!$U$2:$U$151,$A10),Scoring!$U$2:$U$151,0)))</f>
        <v>0</v>
      </c>
      <c r="N10" s="12" t="n">
        <f aca="false">IF(LARGE(Scoring!$U$2:$U$151,$A10)&lt;0,"",INDEX(PriceMetrics!$P$2:$P$151,MATCH(LARGE(Scoring!$U$2:$U$151,$A10),Scoring!$U$2:$U$151,0)))</f>
        <v>0</v>
      </c>
    </row>
    <row r="11" customFormat="false" ht="15" hidden="false" customHeight="false" outlineLevel="0" collapsed="false">
      <c r="A11" s="3" t="n">
        <v>10</v>
      </c>
      <c r="B11" s="3" t="str">
        <f aca="false">IF(LARGE(Scoring!$U$2:$U$151,$A11)&lt;0,"",INDEX(Scoring!$A$2:$A$151,MATCH(LARGE(Scoring!$U$2:$U$151,$A11),Scoring!$U$2:$U$151,0)))</f>
        <v>PRESTIGE</v>
      </c>
      <c r="C11" s="3" t="str">
        <f aca="false">IF(LARGE(Scoring!$U$2:$U$151,$A11)&lt;0,"",INDEX(Tickers!$B$2:$B$151,MATCH(LARGE(Scoring!$U$2:$U$151,$A11),Scoring!$U$2:$U$151,0)))</f>
        <v>Prestige Estates Projects Ltd.</v>
      </c>
      <c r="D11" s="3" t="str">
        <f aca="false">IF(LARGE(Scoring!$U$2:$U$151,$A11)&lt;0,"",INDEX(Tickers!$D$2:$D$151,MATCH(LARGE(Scoring!$U$2:$U$151,$A11),Scoring!$U$2:$U$151,0)))</f>
        <v>MIDCAP50</v>
      </c>
      <c r="E11" s="3" t="str">
        <f aca="false">IF(LARGE(Scoring!$U$2:$U$151,$A11)&lt;0,"",INDEX(Tickers!$C$2:$C$151,MATCH(LARGE(Scoring!$U$2:$U$151,$A11),Scoring!$U$2:$U$151,0)))</f>
        <v>Realty</v>
      </c>
      <c r="F11" s="5" t="n">
        <f aca="false">IF(LARGE(Scoring!$U$2:$U$151,$A11)&lt;0,"",INDEX(Scoring!$M$2:$M$151,MATCH(LARGE(Scoring!$U$2:$U$151,$A11),Scoring!$U$2:$U$151,0)))</f>
        <v>50.7</v>
      </c>
      <c r="G11" s="3" t="str">
        <f aca="false">IF(LARGE(Scoring!$U$2:$U$151,$A11)&lt;0,"",INDEX(Scoring!$P$2:$P$151,MATCH(LARGE(Scoring!$U$2:$U$151,$A11),Scoring!$U$2:$U$151,0)))</f>
        <v>HOLD</v>
      </c>
      <c r="H11" s="3" t="str">
        <f aca="false">IF(LARGE(Scoring!$U$2:$U$151,$A11)&lt;0,"",INDEX(Scoring!$Q$2:$Q$151,MATCH(LARGE(Scoring!$U$2:$U$151,$A11),Scoring!$U$2:$U$151,0)))</f>
        <v>Low</v>
      </c>
      <c r="I11" s="12" t="n">
        <f aca="false">IF(LARGE(Scoring!$U$2:$U$151,$A11)&lt;0,"",INDEX(Scoring!$R$2:$R$151,MATCH(LARGE(Scoring!$U$2:$U$151,$A11),Scoring!$U$2:$U$151,0)))</f>
        <v>0</v>
      </c>
      <c r="J11" s="3" t="str">
        <f aca="false">IF(LARGE(Scoring!$U$2:$U$151,$A11)&lt;0,"",INDEX(Scoring!$S$2:$S$151,MATCH(LARGE(Scoring!$U$2:$U$151,$A11),Scoring!$U$2:$U$151,0)))</f>
        <v>Rich valuation</v>
      </c>
      <c r="K11" s="20" t="n">
        <f aca="false">IF(LARGE(Scoring!$U$2:$U$151,$A11)&lt;0,"",INDEX(PriceMetrics!$B$2:$B$151,MATCH(LARGE(Scoring!$U$2:$U$151,$A11),Scoring!$U$2:$U$151,0)))</f>
        <v>0</v>
      </c>
      <c r="L11" s="5" t="n">
        <f aca="false">IF(LARGE(Scoring!$U$2:$U$151,$A11)&lt;0,"",INDEX(Fundamentals!$C$2:$C$151,MATCH(LARGE(Scoring!$U$2:$U$151,$A11),Scoring!$U$2:$U$151,0)))</f>
        <v>0</v>
      </c>
      <c r="M11" s="12" t="n">
        <f aca="false">IF(LARGE(Scoring!$U$2:$U$151,$A11)&lt;0,"",INDEX(Fundamentals!$F$2:$F$151,MATCH(LARGE(Scoring!$U$2:$U$151,$A11),Scoring!$U$2:$U$151,0)))</f>
        <v>0</v>
      </c>
      <c r="N11" s="12" t="n">
        <f aca="false">IF(LARGE(Scoring!$U$2:$U$151,$A11)&lt;0,"",INDEX(PriceMetrics!$P$2:$P$151,MATCH(LARGE(Scoring!$U$2:$U$151,$A11),Scoring!$U$2:$U$151,0)))</f>
        <v>0</v>
      </c>
    </row>
    <row r="12" customFormat="false" ht="15" hidden="false" customHeight="false" outlineLevel="0" collapsed="false">
      <c r="A12" s="3" t="n">
        <v>11</v>
      </c>
      <c r="B12" s="3" t="str">
        <f aca="false">IF(LARGE(Scoring!$U$2:$U$151,$A12)&lt;0,"",INDEX(Scoring!$A$2:$A$151,MATCH(LARGE(Scoring!$U$2:$U$151,$A12),Scoring!$U$2:$U$151,0)))</f>
        <v>POLYCAB</v>
      </c>
      <c r="C12" s="3" t="str">
        <f aca="false">IF(LARGE(Scoring!$U$2:$U$151,$A12)&lt;0,"",INDEX(Tickers!$B$2:$B$151,MATCH(LARGE(Scoring!$U$2:$U$151,$A12),Scoring!$U$2:$U$151,0)))</f>
        <v>Polycab India Ltd.</v>
      </c>
      <c r="D12" s="3" t="str">
        <f aca="false">IF(LARGE(Scoring!$U$2:$U$151,$A12)&lt;0,"",INDEX(Tickers!$D$2:$D$151,MATCH(LARGE(Scoring!$U$2:$U$151,$A12),Scoring!$U$2:$U$151,0)))</f>
        <v>MIDCAP50</v>
      </c>
      <c r="E12" s="3" t="str">
        <f aca="false">IF(LARGE(Scoring!$U$2:$U$151,$A12)&lt;0,"",INDEX(Tickers!$C$2:$C$151,MATCH(LARGE(Scoring!$U$2:$U$151,$A12),Scoring!$U$2:$U$151,0)))</f>
        <v>Capital Goods</v>
      </c>
      <c r="F12" s="5" t="n">
        <f aca="false">IF(LARGE(Scoring!$U$2:$U$151,$A12)&lt;0,"",INDEX(Scoring!$M$2:$M$151,MATCH(LARGE(Scoring!$U$2:$U$151,$A12),Scoring!$U$2:$U$151,0)))</f>
        <v>50.7</v>
      </c>
      <c r="G12" s="3" t="str">
        <f aca="false">IF(LARGE(Scoring!$U$2:$U$151,$A12)&lt;0,"",INDEX(Scoring!$P$2:$P$151,MATCH(LARGE(Scoring!$U$2:$U$151,$A12),Scoring!$U$2:$U$151,0)))</f>
        <v>HOLD</v>
      </c>
      <c r="H12" s="3" t="str">
        <f aca="false">IF(LARGE(Scoring!$U$2:$U$151,$A12)&lt;0,"",INDEX(Scoring!$Q$2:$Q$151,MATCH(LARGE(Scoring!$U$2:$U$151,$A12),Scoring!$U$2:$U$151,0)))</f>
        <v>Low</v>
      </c>
      <c r="I12" s="12" t="n">
        <f aca="false">IF(LARGE(Scoring!$U$2:$U$151,$A12)&lt;0,"",INDEX(Scoring!$R$2:$R$151,MATCH(LARGE(Scoring!$U$2:$U$151,$A12),Scoring!$U$2:$U$151,0)))</f>
        <v>0</v>
      </c>
      <c r="J12" s="3" t="str">
        <f aca="false">IF(LARGE(Scoring!$U$2:$U$151,$A12)&lt;0,"",INDEX(Scoring!$S$2:$S$151,MATCH(LARGE(Scoring!$U$2:$U$151,$A12),Scoring!$U$2:$U$151,0)))</f>
        <v>Rich valuation</v>
      </c>
      <c r="K12" s="20" t="n">
        <f aca="false">IF(LARGE(Scoring!$U$2:$U$151,$A12)&lt;0,"",INDEX(PriceMetrics!$B$2:$B$151,MATCH(LARGE(Scoring!$U$2:$U$151,$A12),Scoring!$U$2:$U$151,0)))</f>
        <v>0</v>
      </c>
      <c r="L12" s="5" t="n">
        <f aca="false">IF(LARGE(Scoring!$U$2:$U$151,$A12)&lt;0,"",INDEX(Fundamentals!$C$2:$C$151,MATCH(LARGE(Scoring!$U$2:$U$151,$A12),Scoring!$U$2:$U$151,0)))</f>
        <v>0</v>
      </c>
      <c r="M12" s="12" t="n">
        <f aca="false">IF(LARGE(Scoring!$U$2:$U$151,$A12)&lt;0,"",INDEX(Fundamentals!$F$2:$F$151,MATCH(LARGE(Scoring!$U$2:$U$151,$A12),Scoring!$U$2:$U$151,0)))</f>
        <v>0</v>
      </c>
      <c r="N12" s="12" t="n">
        <f aca="false">IF(LARGE(Scoring!$U$2:$U$151,$A12)&lt;0,"",INDEX(PriceMetrics!$P$2:$P$151,MATCH(LARGE(Scoring!$U$2:$U$151,$A12),Scoring!$U$2:$U$151,0)))</f>
        <v>0</v>
      </c>
    </row>
    <row r="13" customFormat="false" ht="15" hidden="false" customHeight="false" outlineLevel="0" collapsed="false">
      <c r="A13" s="3" t="n">
        <v>12</v>
      </c>
      <c r="B13" s="3" t="str">
        <f aca="false">IF(LARGE(Scoring!$U$2:$U$151,$A13)&lt;0,"",INDEX(Scoring!$A$2:$A$151,MATCH(LARGE(Scoring!$U$2:$U$151,$A13),Scoring!$U$2:$U$151,0)))</f>
        <v>PHOENIXLTD</v>
      </c>
      <c r="C13" s="3" t="str">
        <f aca="false">IF(LARGE(Scoring!$U$2:$U$151,$A13)&lt;0,"",INDEX(Tickers!$B$2:$B$151,MATCH(LARGE(Scoring!$U$2:$U$151,$A13),Scoring!$U$2:$U$151,0)))</f>
        <v>Phoenix Mills Ltd.</v>
      </c>
      <c r="D13" s="3" t="str">
        <f aca="false">IF(LARGE(Scoring!$U$2:$U$151,$A13)&lt;0,"",INDEX(Tickers!$D$2:$D$151,MATCH(LARGE(Scoring!$U$2:$U$151,$A13),Scoring!$U$2:$U$151,0)))</f>
        <v>MIDCAP50</v>
      </c>
      <c r="E13" s="3" t="str">
        <f aca="false">IF(LARGE(Scoring!$U$2:$U$151,$A13)&lt;0,"",INDEX(Tickers!$C$2:$C$151,MATCH(LARGE(Scoring!$U$2:$U$151,$A13),Scoring!$U$2:$U$151,0)))</f>
        <v>Realty</v>
      </c>
      <c r="F13" s="5" t="n">
        <f aca="false">IF(LARGE(Scoring!$U$2:$U$151,$A13)&lt;0,"",INDEX(Scoring!$M$2:$M$151,MATCH(LARGE(Scoring!$U$2:$U$151,$A13),Scoring!$U$2:$U$151,0)))</f>
        <v>50.7</v>
      </c>
      <c r="G13" s="3" t="str">
        <f aca="false">IF(LARGE(Scoring!$U$2:$U$151,$A13)&lt;0,"",INDEX(Scoring!$P$2:$P$151,MATCH(LARGE(Scoring!$U$2:$U$151,$A13),Scoring!$U$2:$U$151,0)))</f>
        <v>HOLD</v>
      </c>
      <c r="H13" s="3" t="str">
        <f aca="false">IF(LARGE(Scoring!$U$2:$U$151,$A13)&lt;0,"",INDEX(Scoring!$Q$2:$Q$151,MATCH(LARGE(Scoring!$U$2:$U$151,$A13),Scoring!$U$2:$U$151,0)))</f>
        <v>Low</v>
      </c>
      <c r="I13" s="12" t="n">
        <f aca="false">IF(LARGE(Scoring!$U$2:$U$151,$A13)&lt;0,"",INDEX(Scoring!$R$2:$R$151,MATCH(LARGE(Scoring!$U$2:$U$151,$A13),Scoring!$U$2:$U$151,0)))</f>
        <v>0</v>
      </c>
      <c r="J13" s="3" t="str">
        <f aca="false">IF(LARGE(Scoring!$U$2:$U$151,$A13)&lt;0,"",INDEX(Scoring!$S$2:$S$151,MATCH(LARGE(Scoring!$U$2:$U$151,$A13),Scoring!$U$2:$U$151,0)))</f>
        <v>Rich valuation</v>
      </c>
      <c r="K13" s="20" t="n">
        <f aca="false">IF(LARGE(Scoring!$U$2:$U$151,$A13)&lt;0,"",INDEX(PriceMetrics!$B$2:$B$151,MATCH(LARGE(Scoring!$U$2:$U$151,$A13),Scoring!$U$2:$U$151,0)))</f>
        <v>0</v>
      </c>
      <c r="L13" s="5" t="n">
        <f aca="false">IF(LARGE(Scoring!$U$2:$U$151,$A13)&lt;0,"",INDEX(Fundamentals!$C$2:$C$151,MATCH(LARGE(Scoring!$U$2:$U$151,$A13),Scoring!$U$2:$U$151,0)))</f>
        <v>0</v>
      </c>
      <c r="M13" s="12" t="n">
        <f aca="false">IF(LARGE(Scoring!$U$2:$U$151,$A13)&lt;0,"",INDEX(Fundamentals!$F$2:$F$151,MATCH(LARGE(Scoring!$U$2:$U$151,$A13),Scoring!$U$2:$U$151,0)))</f>
        <v>0</v>
      </c>
      <c r="N13" s="12" t="n">
        <f aca="false">IF(LARGE(Scoring!$U$2:$U$151,$A13)&lt;0,"",INDEX(PriceMetrics!$P$2:$P$151,MATCH(LARGE(Scoring!$U$2:$U$151,$A13),Scoring!$U$2:$U$151,0)))</f>
        <v>0</v>
      </c>
    </row>
    <row r="14" customFormat="false" ht="15" hidden="false" customHeight="false" outlineLevel="0" collapsed="false">
      <c r="A14" s="3" t="n">
        <v>13</v>
      </c>
      <c r="B14" s="3" t="str">
        <f aca="false">IF(LARGE(Scoring!$U$2:$U$151,$A14)&lt;0,"",INDEX(Scoring!$A$2:$A$151,MATCH(LARGE(Scoring!$U$2:$U$151,$A14),Scoring!$U$2:$U$151,0)))</f>
        <v>PERSISTENT</v>
      </c>
      <c r="C14" s="3" t="str">
        <f aca="false">IF(LARGE(Scoring!$U$2:$U$151,$A14)&lt;0,"",INDEX(Tickers!$B$2:$B$151,MATCH(LARGE(Scoring!$U$2:$U$151,$A14),Scoring!$U$2:$U$151,0)))</f>
        <v>Persistent Systems Ltd.</v>
      </c>
      <c r="D14" s="3" t="str">
        <f aca="false">IF(LARGE(Scoring!$U$2:$U$151,$A14)&lt;0,"",INDEX(Tickers!$D$2:$D$151,MATCH(LARGE(Scoring!$U$2:$U$151,$A14),Scoring!$U$2:$U$151,0)))</f>
        <v>MIDCAP50</v>
      </c>
      <c r="E14" s="3" t="str">
        <f aca="false">IF(LARGE(Scoring!$U$2:$U$151,$A14)&lt;0,"",INDEX(Tickers!$C$2:$C$151,MATCH(LARGE(Scoring!$U$2:$U$151,$A14),Scoring!$U$2:$U$151,0)))</f>
        <v>Information Technology</v>
      </c>
      <c r="F14" s="5" t="n">
        <f aca="false">IF(LARGE(Scoring!$U$2:$U$151,$A14)&lt;0,"",INDEX(Scoring!$M$2:$M$151,MATCH(LARGE(Scoring!$U$2:$U$151,$A14),Scoring!$U$2:$U$151,0)))</f>
        <v>50.7</v>
      </c>
      <c r="G14" s="3" t="str">
        <f aca="false">IF(LARGE(Scoring!$U$2:$U$151,$A14)&lt;0,"",INDEX(Scoring!$P$2:$P$151,MATCH(LARGE(Scoring!$U$2:$U$151,$A14),Scoring!$U$2:$U$151,0)))</f>
        <v>HOLD</v>
      </c>
      <c r="H14" s="3" t="str">
        <f aca="false">IF(LARGE(Scoring!$U$2:$U$151,$A14)&lt;0,"",INDEX(Scoring!$Q$2:$Q$151,MATCH(LARGE(Scoring!$U$2:$U$151,$A14),Scoring!$U$2:$U$151,0)))</f>
        <v>Low</v>
      </c>
      <c r="I14" s="12" t="n">
        <f aca="false">IF(LARGE(Scoring!$U$2:$U$151,$A14)&lt;0,"",INDEX(Scoring!$R$2:$R$151,MATCH(LARGE(Scoring!$U$2:$U$151,$A14),Scoring!$U$2:$U$151,0)))</f>
        <v>0</v>
      </c>
      <c r="J14" s="3" t="str">
        <f aca="false">IF(LARGE(Scoring!$U$2:$U$151,$A14)&lt;0,"",INDEX(Scoring!$S$2:$S$151,MATCH(LARGE(Scoring!$U$2:$U$151,$A14),Scoring!$U$2:$U$151,0)))</f>
        <v>Rich valuation</v>
      </c>
      <c r="K14" s="20" t="n">
        <f aca="false">IF(LARGE(Scoring!$U$2:$U$151,$A14)&lt;0,"",INDEX(PriceMetrics!$B$2:$B$151,MATCH(LARGE(Scoring!$U$2:$U$151,$A14),Scoring!$U$2:$U$151,0)))</f>
        <v>0</v>
      </c>
      <c r="L14" s="5" t="n">
        <f aca="false">IF(LARGE(Scoring!$U$2:$U$151,$A14)&lt;0,"",INDEX(Fundamentals!$C$2:$C$151,MATCH(LARGE(Scoring!$U$2:$U$151,$A14),Scoring!$U$2:$U$151,0)))</f>
        <v>0</v>
      </c>
      <c r="M14" s="12" t="n">
        <f aca="false">IF(LARGE(Scoring!$U$2:$U$151,$A14)&lt;0,"",INDEX(Fundamentals!$F$2:$F$151,MATCH(LARGE(Scoring!$U$2:$U$151,$A14),Scoring!$U$2:$U$151,0)))</f>
        <v>0</v>
      </c>
      <c r="N14" s="12" t="n">
        <f aca="false">IF(LARGE(Scoring!$U$2:$U$151,$A14)&lt;0,"",INDEX(PriceMetrics!$P$2:$P$151,MATCH(LARGE(Scoring!$U$2:$U$151,$A14),Scoring!$U$2:$U$151,0)))</f>
        <v>0</v>
      </c>
    </row>
    <row r="15" customFormat="false" ht="15" hidden="false" customHeight="false" outlineLevel="0" collapsed="false">
      <c r="A15" s="3" t="n">
        <v>14</v>
      </c>
      <c r="B15" s="3" t="str">
        <f aca="false">IF(LARGE(Scoring!$U$2:$U$151,$A15)&lt;0,"",INDEX(Scoring!$A$2:$A$151,MATCH(LARGE(Scoring!$U$2:$U$151,$A15),Scoring!$U$2:$U$151,0)))</f>
        <v>POLICYBZR</v>
      </c>
      <c r="C15" s="3" t="str">
        <f aca="false">IF(LARGE(Scoring!$U$2:$U$151,$A15)&lt;0,"",INDEX(Tickers!$B$2:$B$151,MATCH(LARGE(Scoring!$U$2:$U$151,$A15),Scoring!$U$2:$U$151,0)))</f>
        <v>PB Fintech Ltd.</v>
      </c>
      <c r="D15" s="3" t="str">
        <f aca="false">IF(LARGE(Scoring!$U$2:$U$151,$A15)&lt;0,"",INDEX(Tickers!$D$2:$D$151,MATCH(LARGE(Scoring!$U$2:$U$151,$A15),Scoring!$U$2:$U$151,0)))</f>
        <v>MIDCAP50</v>
      </c>
      <c r="E15" s="3" t="str">
        <f aca="false">IF(LARGE(Scoring!$U$2:$U$151,$A15)&lt;0,"",INDEX(Tickers!$C$2:$C$151,MATCH(LARGE(Scoring!$U$2:$U$151,$A15),Scoring!$U$2:$U$151,0)))</f>
        <v>Financial Services</v>
      </c>
      <c r="F15" s="5" t="n">
        <f aca="false">IF(LARGE(Scoring!$U$2:$U$151,$A15)&lt;0,"",INDEX(Scoring!$M$2:$M$151,MATCH(LARGE(Scoring!$U$2:$U$151,$A15),Scoring!$U$2:$U$151,0)))</f>
        <v>50.7</v>
      </c>
      <c r="G15" s="3" t="str">
        <f aca="false">IF(LARGE(Scoring!$U$2:$U$151,$A15)&lt;0,"",INDEX(Scoring!$P$2:$P$151,MATCH(LARGE(Scoring!$U$2:$U$151,$A15),Scoring!$U$2:$U$151,0)))</f>
        <v>HOLD</v>
      </c>
      <c r="H15" s="3" t="str">
        <f aca="false">IF(LARGE(Scoring!$U$2:$U$151,$A15)&lt;0,"",INDEX(Scoring!$Q$2:$Q$151,MATCH(LARGE(Scoring!$U$2:$U$151,$A15),Scoring!$U$2:$U$151,0)))</f>
        <v>Low</v>
      </c>
      <c r="I15" s="12" t="n">
        <f aca="false">IF(LARGE(Scoring!$U$2:$U$151,$A15)&lt;0,"",INDEX(Scoring!$R$2:$R$151,MATCH(LARGE(Scoring!$U$2:$U$151,$A15),Scoring!$U$2:$U$151,0)))</f>
        <v>0</v>
      </c>
      <c r="J15" s="3" t="str">
        <f aca="false">IF(LARGE(Scoring!$U$2:$U$151,$A15)&lt;0,"",INDEX(Scoring!$S$2:$S$151,MATCH(LARGE(Scoring!$U$2:$U$151,$A15),Scoring!$U$2:$U$151,0)))</f>
        <v>Rich valuation</v>
      </c>
      <c r="K15" s="20" t="n">
        <f aca="false">IF(LARGE(Scoring!$U$2:$U$151,$A15)&lt;0,"",INDEX(PriceMetrics!$B$2:$B$151,MATCH(LARGE(Scoring!$U$2:$U$151,$A15),Scoring!$U$2:$U$151,0)))</f>
        <v>0</v>
      </c>
      <c r="L15" s="5" t="n">
        <f aca="false">IF(LARGE(Scoring!$U$2:$U$151,$A15)&lt;0,"",INDEX(Fundamentals!$C$2:$C$151,MATCH(LARGE(Scoring!$U$2:$U$151,$A15),Scoring!$U$2:$U$151,0)))</f>
        <v>0</v>
      </c>
      <c r="M15" s="12" t="n">
        <f aca="false">IF(LARGE(Scoring!$U$2:$U$151,$A15)&lt;0,"",INDEX(Fundamentals!$F$2:$F$151,MATCH(LARGE(Scoring!$U$2:$U$151,$A15),Scoring!$U$2:$U$151,0)))</f>
        <v>0</v>
      </c>
      <c r="N15" s="12" t="n">
        <f aca="false">IF(LARGE(Scoring!$U$2:$U$151,$A15)&lt;0,"",INDEX(PriceMetrics!$P$2:$P$151,MATCH(LARGE(Scoring!$U$2:$U$151,$A15),Scoring!$U$2:$U$151,0)))</f>
        <v>0</v>
      </c>
    </row>
    <row r="16" customFormat="false" ht="15" hidden="false" customHeight="false" outlineLevel="0" collapsed="false">
      <c r="A16" s="3" t="n">
        <v>15</v>
      </c>
      <c r="B16" s="3" t="str">
        <f aca="false">IF(LARGE(Scoring!$U$2:$U$151,$A16)&lt;0,"",INDEX(Scoring!$A$2:$A$151,MATCH(LARGE(Scoring!$U$2:$U$151,$A16),Scoring!$U$2:$U$151,0)))</f>
        <v>PAYTM</v>
      </c>
      <c r="C16" s="3" t="str">
        <f aca="false">IF(LARGE(Scoring!$U$2:$U$151,$A16)&lt;0,"",INDEX(Tickers!$B$2:$B$151,MATCH(LARGE(Scoring!$U$2:$U$151,$A16),Scoring!$U$2:$U$151,0)))</f>
        <v>One 97 Communications Ltd.</v>
      </c>
      <c r="D16" s="3" t="str">
        <f aca="false">IF(LARGE(Scoring!$U$2:$U$151,$A16)&lt;0,"",INDEX(Tickers!$D$2:$D$151,MATCH(LARGE(Scoring!$U$2:$U$151,$A16),Scoring!$U$2:$U$151,0)))</f>
        <v>MIDCAP50</v>
      </c>
      <c r="E16" s="3" t="str">
        <f aca="false">IF(LARGE(Scoring!$U$2:$U$151,$A16)&lt;0,"",INDEX(Tickers!$C$2:$C$151,MATCH(LARGE(Scoring!$U$2:$U$151,$A16),Scoring!$U$2:$U$151,0)))</f>
        <v>Financial Services</v>
      </c>
      <c r="F16" s="5" t="n">
        <f aca="false">IF(LARGE(Scoring!$U$2:$U$151,$A16)&lt;0,"",INDEX(Scoring!$M$2:$M$151,MATCH(LARGE(Scoring!$U$2:$U$151,$A16),Scoring!$U$2:$U$151,0)))</f>
        <v>50.7</v>
      </c>
      <c r="G16" s="3" t="str">
        <f aca="false">IF(LARGE(Scoring!$U$2:$U$151,$A16)&lt;0,"",INDEX(Scoring!$P$2:$P$151,MATCH(LARGE(Scoring!$U$2:$U$151,$A16),Scoring!$U$2:$U$151,0)))</f>
        <v>HOLD</v>
      </c>
      <c r="H16" s="3" t="str">
        <f aca="false">IF(LARGE(Scoring!$U$2:$U$151,$A16)&lt;0,"",INDEX(Scoring!$Q$2:$Q$151,MATCH(LARGE(Scoring!$U$2:$U$151,$A16),Scoring!$U$2:$U$151,0)))</f>
        <v>Low</v>
      </c>
      <c r="I16" s="12" t="n">
        <f aca="false">IF(LARGE(Scoring!$U$2:$U$151,$A16)&lt;0,"",INDEX(Scoring!$R$2:$R$151,MATCH(LARGE(Scoring!$U$2:$U$151,$A16),Scoring!$U$2:$U$151,0)))</f>
        <v>0</v>
      </c>
      <c r="J16" s="3" t="str">
        <f aca="false">IF(LARGE(Scoring!$U$2:$U$151,$A16)&lt;0,"",INDEX(Scoring!$S$2:$S$151,MATCH(LARGE(Scoring!$U$2:$U$151,$A16),Scoring!$U$2:$U$151,0)))</f>
        <v>Rich valuation</v>
      </c>
      <c r="K16" s="20" t="n">
        <f aca="false">IF(LARGE(Scoring!$U$2:$U$151,$A16)&lt;0,"",INDEX(PriceMetrics!$B$2:$B$151,MATCH(LARGE(Scoring!$U$2:$U$151,$A16),Scoring!$U$2:$U$151,0)))</f>
        <v>0</v>
      </c>
      <c r="L16" s="5" t="n">
        <f aca="false">IF(LARGE(Scoring!$U$2:$U$151,$A16)&lt;0,"",INDEX(Fundamentals!$C$2:$C$151,MATCH(LARGE(Scoring!$U$2:$U$151,$A16),Scoring!$U$2:$U$151,0)))</f>
        <v>0</v>
      </c>
      <c r="M16" s="12" t="n">
        <f aca="false">IF(LARGE(Scoring!$U$2:$U$151,$A16)&lt;0,"",INDEX(Fundamentals!$F$2:$F$151,MATCH(LARGE(Scoring!$U$2:$U$151,$A16),Scoring!$U$2:$U$151,0)))</f>
        <v>0</v>
      </c>
      <c r="N16" s="12" t="n">
        <f aca="false">IF(LARGE(Scoring!$U$2:$U$151,$A16)&lt;0,"",INDEX(PriceMetrics!$P$2:$P$151,MATCH(LARGE(Scoring!$U$2:$U$151,$A16),Scoring!$U$2:$U$151,0)))</f>
        <v>0</v>
      </c>
    </row>
    <row r="17" customFormat="false" ht="15" hidden="false" customHeight="false" outlineLevel="0" collapsed="false">
      <c r="A17" s="3" t="n">
        <v>16</v>
      </c>
      <c r="B17" s="3" t="str">
        <f aca="false">IF(LARGE(Scoring!$U$2:$U$151,$A17)&lt;0,"",INDEX(Scoring!$A$2:$A$151,MATCH(LARGE(Scoring!$U$2:$U$151,$A17),Scoring!$U$2:$U$151,0)))</f>
        <v>OIL</v>
      </c>
      <c r="C17" s="3" t="str">
        <f aca="false">IF(LARGE(Scoring!$U$2:$U$151,$A17)&lt;0,"",INDEX(Tickers!$B$2:$B$151,MATCH(LARGE(Scoring!$U$2:$U$151,$A17),Scoring!$U$2:$U$151,0)))</f>
        <v>Oil India Ltd.</v>
      </c>
      <c r="D17" s="3" t="str">
        <f aca="false">IF(LARGE(Scoring!$U$2:$U$151,$A17)&lt;0,"",INDEX(Tickers!$D$2:$D$151,MATCH(LARGE(Scoring!$U$2:$U$151,$A17),Scoring!$U$2:$U$151,0)))</f>
        <v>MIDCAP50</v>
      </c>
      <c r="E17" s="3" t="str">
        <f aca="false">IF(LARGE(Scoring!$U$2:$U$151,$A17)&lt;0,"",INDEX(Tickers!$C$2:$C$151,MATCH(LARGE(Scoring!$U$2:$U$151,$A17),Scoring!$U$2:$U$151,0)))</f>
        <v>Oil Gas &amp; Consumable Fuels</v>
      </c>
      <c r="F17" s="5" t="n">
        <f aca="false">IF(LARGE(Scoring!$U$2:$U$151,$A17)&lt;0,"",INDEX(Scoring!$M$2:$M$151,MATCH(LARGE(Scoring!$U$2:$U$151,$A17),Scoring!$U$2:$U$151,0)))</f>
        <v>50.7</v>
      </c>
      <c r="G17" s="3" t="str">
        <f aca="false">IF(LARGE(Scoring!$U$2:$U$151,$A17)&lt;0,"",INDEX(Scoring!$P$2:$P$151,MATCH(LARGE(Scoring!$U$2:$U$151,$A17),Scoring!$U$2:$U$151,0)))</f>
        <v>HOLD</v>
      </c>
      <c r="H17" s="3" t="str">
        <f aca="false">IF(LARGE(Scoring!$U$2:$U$151,$A17)&lt;0,"",INDEX(Scoring!$Q$2:$Q$151,MATCH(LARGE(Scoring!$U$2:$U$151,$A17),Scoring!$U$2:$U$151,0)))</f>
        <v>Low</v>
      </c>
      <c r="I17" s="12" t="n">
        <f aca="false">IF(LARGE(Scoring!$U$2:$U$151,$A17)&lt;0,"",INDEX(Scoring!$R$2:$R$151,MATCH(LARGE(Scoring!$U$2:$U$151,$A17),Scoring!$U$2:$U$151,0)))</f>
        <v>0</v>
      </c>
      <c r="J17" s="3" t="str">
        <f aca="false">IF(LARGE(Scoring!$U$2:$U$151,$A17)&lt;0,"",INDEX(Scoring!$S$2:$S$151,MATCH(LARGE(Scoring!$U$2:$U$151,$A17),Scoring!$U$2:$U$151,0)))</f>
        <v>Rich valuation</v>
      </c>
      <c r="K17" s="20" t="n">
        <f aca="false">IF(LARGE(Scoring!$U$2:$U$151,$A17)&lt;0,"",INDEX(PriceMetrics!$B$2:$B$151,MATCH(LARGE(Scoring!$U$2:$U$151,$A17),Scoring!$U$2:$U$151,0)))</f>
        <v>0</v>
      </c>
      <c r="L17" s="5" t="n">
        <f aca="false">IF(LARGE(Scoring!$U$2:$U$151,$A17)&lt;0,"",INDEX(Fundamentals!$C$2:$C$151,MATCH(LARGE(Scoring!$U$2:$U$151,$A17),Scoring!$U$2:$U$151,0)))</f>
        <v>0</v>
      </c>
      <c r="M17" s="12" t="n">
        <f aca="false">IF(LARGE(Scoring!$U$2:$U$151,$A17)&lt;0,"",INDEX(Fundamentals!$F$2:$F$151,MATCH(LARGE(Scoring!$U$2:$U$151,$A17),Scoring!$U$2:$U$151,0)))</f>
        <v>0</v>
      </c>
      <c r="N17" s="12" t="n">
        <f aca="false">IF(LARGE(Scoring!$U$2:$U$151,$A17)&lt;0,"",INDEX(PriceMetrics!$P$2:$P$151,MATCH(LARGE(Scoring!$U$2:$U$151,$A17),Scoring!$U$2:$U$151,0)))</f>
        <v>0</v>
      </c>
    </row>
    <row r="18" customFormat="false" ht="15" hidden="false" customHeight="false" outlineLevel="0" collapsed="false">
      <c r="A18" s="3" t="n">
        <v>17</v>
      </c>
      <c r="B18" s="3" t="str">
        <f aca="false">IF(LARGE(Scoring!$U$2:$U$151,$A18)&lt;0,"",INDEX(Scoring!$A$2:$A$151,MATCH(LARGE(Scoring!$U$2:$U$151,$A18),Scoring!$U$2:$U$151,0)))</f>
        <v>NMDC</v>
      </c>
      <c r="C18" s="3" t="str">
        <f aca="false">IF(LARGE(Scoring!$U$2:$U$151,$A18)&lt;0,"",INDEX(Tickers!$B$2:$B$151,MATCH(LARGE(Scoring!$U$2:$U$151,$A18),Scoring!$U$2:$U$151,0)))</f>
        <v>NMDC Ltd.</v>
      </c>
      <c r="D18" s="3" t="str">
        <f aca="false">IF(LARGE(Scoring!$U$2:$U$151,$A18)&lt;0,"",INDEX(Tickers!$D$2:$D$151,MATCH(LARGE(Scoring!$U$2:$U$151,$A18),Scoring!$U$2:$U$151,0)))</f>
        <v>MIDCAP50</v>
      </c>
      <c r="E18" s="3" t="str">
        <f aca="false">IF(LARGE(Scoring!$U$2:$U$151,$A18)&lt;0,"",INDEX(Tickers!$C$2:$C$151,MATCH(LARGE(Scoring!$U$2:$U$151,$A18),Scoring!$U$2:$U$151,0)))</f>
        <v>Metals &amp; Mining</v>
      </c>
      <c r="F18" s="5" t="n">
        <f aca="false">IF(LARGE(Scoring!$U$2:$U$151,$A18)&lt;0,"",INDEX(Scoring!$M$2:$M$151,MATCH(LARGE(Scoring!$U$2:$U$151,$A18),Scoring!$U$2:$U$151,0)))</f>
        <v>50.7</v>
      </c>
      <c r="G18" s="3" t="str">
        <f aca="false">IF(LARGE(Scoring!$U$2:$U$151,$A18)&lt;0,"",INDEX(Scoring!$P$2:$P$151,MATCH(LARGE(Scoring!$U$2:$U$151,$A18),Scoring!$U$2:$U$151,0)))</f>
        <v>HOLD</v>
      </c>
      <c r="H18" s="3" t="str">
        <f aca="false">IF(LARGE(Scoring!$U$2:$U$151,$A18)&lt;0,"",INDEX(Scoring!$Q$2:$Q$151,MATCH(LARGE(Scoring!$U$2:$U$151,$A18),Scoring!$U$2:$U$151,0)))</f>
        <v>Low</v>
      </c>
      <c r="I18" s="12" t="n">
        <f aca="false">IF(LARGE(Scoring!$U$2:$U$151,$A18)&lt;0,"",INDEX(Scoring!$R$2:$R$151,MATCH(LARGE(Scoring!$U$2:$U$151,$A18),Scoring!$U$2:$U$151,0)))</f>
        <v>0</v>
      </c>
      <c r="J18" s="3" t="str">
        <f aca="false">IF(LARGE(Scoring!$U$2:$U$151,$A18)&lt;0,"",INDEX(Scoring!$S$2:$S$151,MATCH(LARGE(Scoring!$U$2:$U$151,$A18),Scoring!$U$2:$U$151,0)))</f>
        <v>Rich valuation</v>
      </c>
      <c r="K18" s="20" t="n">
        <f aca="false">IF(LARGE(Scoring!$U$2:$U$151,$A18)&lt;0,"",INDEX(PriceMetrics!$B$2:$B$151,MATCH(LARGE(Scoring!$U$2:$U$151,$A18),Scoring!$U$2:$U$151,0)))</f>
        <v>0</v>
      </c>
      <c r="L18" s="5" t="n">
        <f aca="false">IF(LARGE(Scoring!$U$2:$U$151,$A18)&lt;0,"",INDEX(Fundamentals!$C$2:$C$151,MATCH(LARGE(Scoring!$U$2:$U$151,$A18),Scoring!$U$2:$U$151,0)))</f>
        <v>0</v>
      </c>
      <c r="M18" s="12" t="n">
        <f aca="false">IF(LARGE(Scoring!$U$2:$U$151,$A18)&lt;0,"",INDEX(Fundamentals!$F$2:$F$151,MATCH(LARGE(Scoring!$U$2:$U$151,$A18),Scoring!$U$2:$U$151,0)))</f>
        <v>0</v>
      </c>
      <c r="N18" s="12" t="n">
        <f aca="false">IF(LARGE(Scoring!$U$2:$U$151,$A18)&lt;0,"",INDEX(PriceMetrics!$P$2:$P$151,MATCH(LARGE(Scoring!$U$2:$U$151,$A18),Scoring!$U$2:$U$151,0)))</f>
        <v>0</v>
      </c>
    </row>
    <row r="19" customFormat="false" ht="15" hidden="false" customHeight="false" outlineLevel="0" collapsed="false">
      <c r="A19" s="3" t="n">
        <v>18</v>
      </c>
      <c r="B19" s="3" t="str">
        <f aca="false">IF(LARGE(Scoring!$U$2:$U$151,$A19)&lt;0,"",INDEX(Scoring!$A$2:$A$151,MATCH(LARGE(Scoring!$U$2:$U$151,$A19),Scoring!$U$2:$U$151,0)))</f>
        <v>NHPC</v>
      </c>
      <c r="C19" s="3" t="str">
        <f aca="false">IF(LARGE(Scoring!$U$2:$U$151,$A19)&lt;0,"",INDEX(Tickers!$B$2:$B$151,MATCH(LARGE(Scoring!$U$2:$U$151,$A19),Scoring!$U$2:$U$151,0)))</f>
        <v>NHPC Ltd.</v>
      </c>
      <c r="D19" s="3" t="str">
        <f aca="false">IF(LARGE(Scoring!$U$2:$U$151,$A19)&lt;0,"",INDEX(Tickers!$D$2:$D$151,MATCH(LARGE(Scoring!$U$2:$U$151,$A19),Scoring!$U$2:$U$151,0)))</f>
        <v>MIDCAP50</v>
      </c>
      <c r="E19" s="3" t="str">
        <f aca="false">IF(LARGE(Scoring!$U$2:$U$151,$A19)&lt;0,"",INDEX(Tickers!$C$2:$C$151,MATCH(LARGE(Scoring!$U$2:$U$151,$A19),Scoring!$U$2:$U$151,0)))</f>
        <v>Power</v>
      </c>
      <c r="F19" s="5" t="n">
        <f aca="false">IF(LARGE(Scoring!$U$2:$U$151,$A19)&lt;0,"",INDEX(Scoring!$M$2:$M$151,MATCH(LARGE(Scoring!$U$2:$U$151,$A19),Scoring!$U$2:$U$151,0)))</f>
        <v>50.7</v>
      </c>
      <c r="G19" s="3" t="str">
        <f aca="false">IF(LARGE(Scoring!$U$2:$U$151,$A19)&lt;0,"",INDEX(Scoring!$P$2:$P$151,MATCH(LARGE(Scoring!$U$2:$U$151,$A19),Scoring!$U$2:$U$151,0)))</f>
        <v>HOLD</v>
      </c>
      <c r="H19" s="3" t="str">
        <f aca="false">IF(LARGE(Scoring!$U$2:$U$151,$A19)&lt;0,"",INDEX(Scoring!$Q$2:$Q$151,MATCH(LARGE(Scoring!$U$2:$U$151,$A19),Scoring!$U$2:$U$151,0)))</f>
        <v>Low</v>
      </c>
      <c r="I19" s="12" t="n">
        <f aca="false">IF(LARGE(Scoring!$U$2:$U$151,$A19)&lt;0,"",INDEX(Scoring!$R$2:$R$151,MATCH(LARGE(Scoring!$U$2:$U$151,$A19),Scoring!$U$2:$U$151,0)))</f>
        <v>0</v>
      </c>
      <c r="J19" s="3" t="str">
        <f aca="false">IF(LARGE(Scoring!$U$2:$U$151,$A19)&lt;0,"",INDEX(Scoring!$S$2:$S$151,MATCH(LARGE(Scoring!$U$2:$U$151,$A19),Scoring!$U$2:$U$151,0)))</f>
        <v>Rich valuation</v>
      </c>
      <c r="K19" s="20" t="n">
        <f aca="false">IF(LARGE(Scoring!$U$2:$U$151,$A19)&lt;0,"",INDEX(PriceMetrics!$B$2:$B$151,MATCH(LARGE(Scoring!$U$2:$U$151,$A19),Scoring!$U$2:$U$151,0)))</f>
        <v>0</v>
      </c>
      <c r="L19" s="5" t="n">
        <f aca="false">IF(LARGE(Scoring!$U$2:$U$151,$A19)&lt;0,"",INDEX(Fundamentals!$C$2:$C$151,MATCH(LARGE(Scoring!$U$2:$U$151,$A19),Scoring!$U$2:$U$151,0)))</f>
        <v>0</v>
      </c>
      <c r="M19" s="12" t="n">
        <f aca="false">IF(LARGE(Scoring!$U$2:$U$151,$A19)&lt;0,"",INDEX(Fundamentals!$F$2:$F$151,MATCH(LARGE(Scoring!$U$2:$U$151,$A19),Scoring!$U$2:$U$151,0)))</f>
        <v>0</v>
      </c>
      <c r="N19" s="12" t="n">
        <f aca="false">IF(LARGE(Scoring!$U$2:$U$151,$A19)&lt;0,"",INDEX(PriceMetrics!$P$2:$P$151,MATCH(LARGE(Scoring!$U$2:$U$151,$A19),Scoring!$U$2:$U$151,0)))</f>
        <v>0</v>
      </c>
    </row>
    <row r="20" customFormat="false" ht="15" hidden="false" customHeight="false" outlineLevel="0" collapsed="false">
      <c r="A20" s="3" t="n">
        <v>19</v>
      </c>
      <c r="B20" s="3" t="str">
        <f aca="false">IF(LARGE(Scoring!$U$2:$U$151,$A20)&lt;0,"",INDEX(Scoring!$A$2:$A$151,MATCH(LARGE(Scoring!$U$2:$U$151,$A20),Scoring!$U$2:$U$151,0)))</f>
        <v>MCX</v>
      </c>
      <c r="C20" s="3" t="str">
        <f aca="false">IF(LARGE(Scoring!$U$2:$U$151,$A20)&lt;0,"",INDEX(Tickers!$B$2:$B$151,MATCH(LARGE(Scoring!$U$2:$U$151,$A20),Scoring!$U$2:$U$151,0)))</f>
        <v>Multi Commodity Exchange of India Ltd.</v>
      </c>
      <c r="D20" s="3" t="str">
        <f aca="false">IF(LARGE(Scoring!$U$2:$U$151,$A20)&lt;0,"",INDEX(Tickers!$D$2:$D$151,MATCH(LARGE(Scoring!$U$2:$U$151,$A20),Scoring!$U$2:$U$151,0)))</f>
        <v>MIDCAP50</v>
      </c>
      <c r="E20" s="3" t="str">
        <f aca="false">IF(LARGE(Scoring!$U$2:$U$151,$A20)&lt;0,"",INDEX(Tickers!$C$2:$C$151,MATCH(LARGE(Scoring!$U$2:$U$151,$A20),Scoring!$U$2:$U$151,0)))</f>
        <v>Financial Services</v>
      </c>
      <c r="F20" s="5" t="n">
        <f aca="false">IF(LARGE(Scoring!$U$2:$U$151,$A20)&lt;0,"",INDEX(Scoring!$M$2:$M$151,MATCH(LARGE(Scoring!$U$2:$U$151,$A20),Scoring!$U$2:$U$151,0)))</f>
        <v>50.7</v>
      </c>
      <c r="G20" s="3" t="str">
        <f aca="false">IF(LARGE(Scoring!$U$2:$U$151,$A20)&lt;0,"",INDEX(Scoring!$P$2:$P$151,MATCH(LARGE(Scoring!$U$2:$U$151,$A20),Scoring!$U$2:$U$151,0)))</f>
        <v>HOLD</v>
      </c>
      <c r="H20" s="3" t="str">
        <f aca="false">IF(LARGE(Scoring!$U$2:$U$151,$A20)&lt;0,"",INDEX(Scoring!$Q$2:$Q$151,MATCH(LARGE(Scoring!$U$2:$U$151,$A20),Scoring!$U$2:$U$151,0)))</f>
        <v>Low</v>
      </c>
      <c r="I20" s="12" t="n">
        <f aca="false">IF(LARGE(Scoring!$U$2:$U$151,$A20)&lt;0,"",INDEX(Scoring!$R$2:$R$151,MATCH(LARGE(Scoring!$U$2:$U$151,$A20),Scoring!$U$2:$U$151,0)))</f>
        <v>0</v>
      </c>
      <c r="J20" s="3" t="str">
        <f aca="false">IF(LARGE(Scoring!$U$2:$U$151,$A20)&lt;0,"",INDEX(Scoring!$S$2:$S$151,MATCH(LARGE(Scoring!$U$2:$U$151,$A20),Scoring!$U$2:$U$151,0)))</f>
        <v>Rich valuation</v>
      </c>
      <c r="K20" s="20" t="n">
        <f aca="false">IF(LARGE(Scoring!$U$2:$U$151,$A20)&lt;0,"",INDEX(PriceMetrics!$B$2:$B$151,MATCH(LARGE(Scoring!$U$2:$U$151,$A20),Scoring!$U$2:$U$151,0)))</f>
        <v>0</v>
      </c>
      <c r="L20" s="5" t="n">
        <f aca="false">IF(LARGE(Scoring!$U$2:$U$151,$A20)&lt;0,"",INDEX(Fundamentals!$C$2:$C$151,MATCH(LARGE(Scoring!$U$2:$U$151,$A20),Scoring!$U$2:$U$151,0)))</f>
        <v>0</v>
      </c>
      <c r="M20" s="12" t="n">
        <f aca="false">IF(LARGE(Scoring!$U$2:$U$151,$A20)&lt;0,"",INDEX(Fundamentals!$F$2:$F$151,MATCH(LARGE(Scoring!$U$2:$U$151,$A20),Scoring!$U$2:$U$151,0)))</f>
        <v>0</v>
      </c>
      <c r="N20" s="12" t="n">
        <f aca="false">IF(LARGE(Scoring!$U$2:$U$151,$A20)&lt;0,"",INDEX(PriceMetrics!$P$2:$P$151,MATCH(LARGE(Scoring!$U$2:$U$151,$A20),Scoring!$U$2:$U$151,0)))</f>
        <v>0</v>
      </c>
    </row>
    <row r="21" customFormat="false" ht="15" hidden="false" customHeight="false" outlineLevel="0" collapsed="false">
      <c r="A21" s="3" t="n">
        <v>20</v>
      </c>
      <c r="B21" s="3" t="str">
        <f aca="false">IF(LARGE(Scoring!$U$2:$U$151,$A21)&lt;0,"",INDEX(Scoring!$A$2:$A$151,MATCH(LARGE(Scoring!$U$2:$U$151,$A21),Scoring!$U$2:$U$151,0)))</f>
        <v>MPHASIS</v>
      </c>
      <c r="C21" s="3" t="str">
        <f aca="false">IF(LARGE(Scoring!$U$2:$U$151,$A21)&lt;0,"",INDEX(Tickers!$B$2:$B$151,MATCH(LARGE(Scoring!$U$2:$U$151,$A21),Scoring!$U$2:$U$151,0)))</f>
        <v>MphasiS Ltd.</v>
      </c>
      <c r="D21" s="3" t="str">
        <f aca="false">IF(LARGE(Scoring!$U$2:$U$151,$A21)&lt;0,"",INDEX(Tickers!$D$2:$D$151,MATCH(LARGE(Scoring!$U$2:$U$151,$A21),Scoring!$U$2:$U$151,0)))</f>
        <v>MIDCAP50</v>
      </c>
      <c r="E21" s="3" t="str">
        <f aca="false">IF(LARGE(Scoring!$U$2:$U$151,$A21)&lt;0,"",INDEX(Tickers!$C$2:$C$151,MATCH(LARGE(Scoring!$U$2:$U$151,$A21),Scoring!$U$2:$U$151,0)))</f>
        <v>Information Technology</v>
      </c>
      <c r="F21" s="5" t="n">
        <f aca="false">IF(LARGE(Scoring!$U$2:$U$151,$A21)&lt;0,"",INDEX(Scoring!$M$2:$M$151,MATCH(LARGE(Scoring!$U$2:$U$151,$A21),Scoring!$U$2:$U$151,0)))</f>
        <v>50.7</v>
      </c>
      <c r="G21" s="3" t="str">
        <f aca="false">IF(LARGE(Scoring!$U$2:$U$151,$A21)&lt;0,"",INDEX(Scoring!$P$2:$P$151,MATCH(LARGE(Scoring!$U$2:$U$151,$A21),Scoring!$U$2:$U$151,0)))</f>
        <v>HOLD</v>
      </c>
      <c r="H21" s="3" t="str">
        <f aca="false">IF(LARGE(Scoring!$U$2:$U$151,$A21)&lt;0,"",INDEX(Scoring!$Q$2:$Q$151,MATCH(LARGE(Scoring!$U$2:$U$151,$A21),Scoring!$U$2:$U$151,0)))</f>
        <v>Low</v>
      </c>
      <c r="I21" s="12" t="n">
        <f aca="false">IF(LARGE(Scoring!$U$2:$U$151,$A21)&lt;0,"",INDEX(Scoring!$R$2:$R$151,MATCH(LARGE(Scoring!$U$2:$U$151,$A21),Scoring!$U$2:$U$151,0)))</f>
        <v>0</v>
      </c>
      <c r="J21" s="3" t="str">
        <f aca="false">IF(LARGE(Scoring!$U$2:$U$151,$A21)&lt;0,"",INDEX(Scoring!$S$2:$S$151,MATCH(LARGE(Scoring!$U$2:$U$151,$A21),Scoring!$U$2:$U$151,0)))</f>
        <v>Rich valuation</v>
      </c>
      <c r="K21" s="20" t="n">
        <f aca="false">IF(LARGE(Scoring!$U$2:$U$151,$A21)&lt;0,"",INDEX(PriceMetrics!$B$2:$B$151,MATCH(LARGE(Scoring!$U$2:$U$151,$A21),Scoring!$U$2:$U$151,0)))</f>
        <v>0</v>
      </c>
      <c r="L21" s="5" t="n">
        <f aca="false">IF(LARGE(Scoring!$U$2:$U$151,$A21)&lt;0,"",INDEX(Fundamentals!$C$2:$C$151,MATCH(LARGE(Scoring!$U$2:$U$151,$A21),Scoring!$U$2:$U$151,0)))</f>
        <v>0</v>
      </c>
      <c r="M21" s="12" t="n">
        <f aca="false">IF(LARGE(Scoring!$U$2:$U$151,$A21)&lt;0,"",INDEX(Fundamentals!$F$2:$F$151,MATCH(LARGE(Scoring!$U$2:$U$151,$A21),Scoring!$U$2:$U$151,0)))</f>
        <v>0</v>
      </c>
      <c r="N21" s="12" t="n">
        <f aca="false">IF(LARGE(Scoring!$U$2:$U$151,$A21)&lt;0,"",INDEX(PriceMetrics!$P$2:$P$151,MATCH(LARGE(Scoring!$U$2:$U$151,$A21),Scoring!$U$2:$U$151,0)))</f>
        <v>0</v>
      </c>
    </row>
    <row r="22" customFormat="false" ht="15" hidden="false" customHeight="false" outlineLevel="0" collapsed="false">
      <c r="A22" s="3" t="n">
        <v>21</v>
      </c>
      <c r="B22" s="3" t="str">
        <f aca="false">IF(LARGE(Scoring!$U$2:$U$151,$A22)&lt;0,"",INDEX(Scoring!$A$2:$A$151,MATCH(LARGE(Scoring!$U$2:$U$151,$A22),Scoring!$U$2:$U$151,0)))</f>
        <v>MFSL</v>
      </c>
      <c r="C22" s="3" t="str">
        <f aca="false">IF(LARGE(Scoring!$U$2:$U$151,$A22)&lt;0,"",INDEX(Tickers!$B$2:$B$151,MATCH(LARGE(Scoring!$U$2:$U$151,$A22),Scoring!$U$2:$U$151,0)))</f>
        <v>Max Financial Services Ltd.</v>
      </c>
      <c r="D22" s="3" t="str">
        <f aca="false">IF(LARGE(Scoring!$U$2:$U$151,$A22)&lt;0,"",INDEX(Tickers!$D$2:$D$151,MATCH(LARGE(Scoring!$U$2:$U$151,$A22),Scoring!$U$2:$U$151,0)))</f>
        <v>MIDCAP50</v>
      </c>
      <c r="E22" s="3" t="str">
        <f aca="false">IF(LARGE(Scoring!$U$2:$U$151,$A22)&lt;0,"",INDEX(Tickers!$C$2:$C$151,MATCH(LARGE(Scoring!$U$2:$U$151,$A22),Scoring!$U$2:$U$151,0)))</f>
        <v>Financial Services</v>
      </c>
      <c r="F22" s="5" t="n">
        <f aca="false">IF(LARGE(Scoring!$U$2:$U$151,$A22)&lt;0,"",INDEX(Scoring!$M$2:$M$151,MATCH(LARGE(Scoring!$U$2:$U$151,$A22),Scoring!$U$2:$U$151,0)))</f>
        <v>50.7</v>
      </c>
      <c r="G22" s="3" t="str">
        <f aca="false">IF(LARGE(Scoring!$U$2:$U$151,$A22)&lt;0,"",INDEX(Scoring!$P$2:$P$151,MATCH(LARGE(Scoring!$U$2:$U$151,$A22),Scoring!$U$2:$U$151,0)))</f>
        <v>HOLD</v>
      </c>
      <c r="H22" s="3" t="str">
        <f aca="false">IF(LARGE(Scoring!$U$2:$U$151,$A22)&lt;0,"",INDEX(Scoring!$Q$2:$Q$151,MATCH(LARGE(Scoring!$U$2:$U$151,$A22),Scoring!$U$2:$U$151,0)))</f>
        <v>Low</v>
      </c>
      <c r="I22" s="12" t="n">
        <f aca="false">IF(LARGE(Scoring!$U$2:$U$151,$A22)&lt;0,"",INDEX(Scoring!$R$2:$R$151,MATCH(LARGE(Scoring!$U$2:$U$151,$A22),Scoring!$U$2:$U$151,0)))</f>
        <v>0</v>
      </c>
      <c r="J22" s="3" t="str">
        <f aca="false">IF(LARGE(Scoring!$U$2:$U$151,$A22)&lt;0,"",INDEX(Scoring!$S$2:$S$151,MATCH(LARGE(Scoring!$U$2:$U$151,$A22),Scoring!$U$2:$U$151,0)))</f>
        <v>Rich valuation</v>
      </c>
      <c r="K22" s="20" t="n">
        <f aca="false">IF(LARGE(Scoring!$U$2:$U$151,$A22)&lt;0,"",INDEX(PriceMetrics!$B$2:$B$151,MATCH(LARGE(Scoring!$U$2:$U$151,$A22),Scoring!$U$2:$U$151,0)))</f>
        <v>0</v>
      </c>
      <c r="L22" s="5" t="n">
        <f aca="false">IF(LARGE(Scoring!$U$2:$U$151,$A22)&lt;0,"",INDEX(Fundamentals!$C$2:$C$151,MATCH(LARGE(Scoring!$U$2:$U$151,$A22),Scoring!$U$2:$U$151,0)))</f>
        <v>0</v>
      </c>
      <c r="M22" s="12" t="n">
        <f aca="false">IF(LARGE(Scoring!$U$2:$U$151,$A22)&lt;0,"",INDEX(Fundamentals!$F$2:$F$151,MATCH(LARGE(Scoring!$U$2:$U$151,$A22),Scoring!$U$2:$U$151,0)))</f>
        <v>0</v>
      </c>
      <c r="N22" s="12" t="n">
        <f aca="false">IF(LARGE(Scoring!$U$2:$U$151,$A22)&lt;0,"",INDEX(PriceMetrics!$P$2:$P$151,MATCH(LARGE(Scoring!$U$2:$U$151,$A22),Scoring!$U$2:$U$151,0)))</f>
        <v>0</v>
      </c>
    </row>
    <row r="23" customFormat="false" ht="15" hidden="false" customHeight="false" outlineLevel="0" collapsed="false">
      <c r="A23" s="3" t="n">
        <v>22</v>
      </c>
      <c r="B23" s="3" t="str">
        <f aca="false">IF(LARGE(Scoring!$U$2:$U$151,$A23)&lt;0,"",INDEX(Scoring!$A$2:$A$151,MATCH(LARGE(Scoring!$U$2:$U$151,$A23),Scoring!$U$2:$U$151,0)))</f>
        <v>MARICO</v>
      </c>
      <c r="C23" s="3" t="str">
        <f aca="false">IF(LARGE(Scoring!$U$2:$U$151,$A23)&lt;0,"",INDEX(Tickers!$B$2:$B$151,MATCH(LARGE(Scoring!$U$2:$U$151,$A23),Scoring!$U$2:$U$151,0)))</f>
        <v>Marico Ltd.</v>
      </c>
      <c r="D23" s="3" t="str">
        <f aca="false">IF(LARGE(Scoring!$U$2:$U$151,$A23)&lt;0,"",INDEX(Tickers!$D$2:$D$151,MATCH(LARGE(Scoring!$U$2:$U$151,$A23),Scoring!$U$2:$U$151,0)))</f>
        <v>MIDCAP50</v>
      </c>
      <c r="E23" s="3" t="str">
        <f aca="false">IF(LARGE(Scoring!$U$2:$U$151,$A23)&lt;0,"",INDEX(Tickers!$C$2:$C$151,MATCH(LARGE(Scoring!$U$2:$U$151,$A23),Scoring!$U$2:$U$151,0)))</f>
        <v>Fast Moving Consumer Goods</v>
      </c>
      <c r="F23" s="5" t="n">
        <f aca="false">IF(LARGE(Scoring!$U$2:$U$151,$A23)&lt;0,"",INDEX(Scoring!$M$2:$M$151,MATCH(LARGE(Scoring!$U$2:$U$151,$A23),Scoring!$U$2:$U$151,0)))</f>
        <v>50.7</v>
      </c>
      <c r="G23" s="3" t="str">
        <f aca="false">IF(LARGE(Scoring!$U$2:$U$151,$A23)&lt;0,"",INDEX(Scoring!$P$2:$P$151,MATCH(LARGE(Scoring!$U$2:$U$151,$A23),Scoring!$U$2:$U$151,0)))</f>
        <v>HOLD</v>
      </c>
      <c r="H23" s="3" t="str">
        <f aca="false">IF(LARGE(Scoring!$U$2:$U$151,$A23)&lt;0,"",INDEX(Scoring!$Q$2:$Q$151,MATCH(LARGE(Scoring!$U$2:$U$151,$A23),Scoring!$U$2:$U$151,0)))</f>
        <v>Low</v>
      </c>
      <c r="I23" s="12" t="n">
        <f aca="false">IF(LARGE(Scoring!$U$2:$U$151,$A23)&lt;0,"",INDEX(Scoring!$R$2:$R$151,MATCH(LARGE(Scoring!$U$2:$U$151,$A23),Scoring!$U$2:$U$151,0)))</f>
        <v>0</v>
      </c>
      <c r="J23" s="3" t="str">
        <f aca="false">IF(LARGE(Scoring!$U$2:$U$151,$A23)&lt;0,"",INDEX(Scoring!$S$2:$S$151,MATCH(LARGE(Scoring!$U$2:$U$151,$A23),Scoring!$U$2:$U$151,0)))</f>
        <v>Rich valuation</v>
      </c>
      <c r="K23" s="20" t="n">
        <f aca="false">IF(LARGE(Scoring!$U$2:$U$151,$A23)&lt;0,"",INDEX(PriceMetrics!$B$2:$B$151,MATCH(LARGE(Scoring!$U$2:$U$151,$A23),Scoring!$U$2:$U$151,0)))</f>
        <v>0</v>
      </c>
      <c r="L23" s="5" t="n">
        <f aca="false">IF(LARGE(Scoring!$U$2:$U$151,$A23)&lt;0,"",INDEX(Fundamentals!$C$2:$C$151,MATCH(LARGE(Scoring!$U$2:$U$151,$A23),Scoring!$U$2:$U$151,0)))</f>
        <v>0</v>
      </c>
      <c r="M23" s="12" t="n">
        <f aca="false">IF(LARGE(Scoring!$U$2:$U$151,$A23)&lt;0,"",INDEX(Fundamentals!$F$2:$F$151,MATCH(LARGE(Scoring!$U$2:$U$151,$A23),Scoring!$U$2:$U$151,0)))</f>
        <v>0</v>
      </c>
      <c r="N23" s="12" t="n">
        <f aca="false">IF(LARGE(Scoring!$U$2:$U$151,$A23)&lt;0,"",INDEX(PriceMetrics!$P$2:$P$151,MATCH(LARGE(Scoring!$U$2:$U$151,$A23),Scoring!$U$2:$U$151,0)))</f>
        <v>0</v>
      </c>
    </row>
    <row r="24" customFormat="false" ht="15" hidden="false" customHeight="false" outlineLevel="0" collapsed="false">
      <c r="A24" s="3" t="n">
        <v>23</v>
      </c>
      <c r="B24" s="3" t="str">
        <f aca="false">IF(LARGE(Scoring!$U$2:$U$151,$A24)&lt;0,"",INDEX(Scoring!$A$2:$A$151,MATCH(LARGE(Scoring!$U$2:$U$151,$A24),Scoring!$U$2:$U$151,0)))</f>
        <v>MANKIND</v>
      </c>
      <c r="C24" s="3" t="str">
        <f aca="false">IF(LARGE(Scoring!$U$2:$U$151,$A24)&lt;0,"",INDEX(Tickers!$B$2:$B$151,MATCH(LARGE(Scoring!$U$2:$U$151,$A24),Scoring!$U$2:$U$151,0)))</f>
        <v>Mankind Pharma Ltd.</v>
      </c>
      <c r="D24" s="3" t="str">
        <f aca="false">IF(LARGE(Scoring!$U$2:$U$151,$A24)&lt;0,"",INDEX(Tickers!$D$2:$D$151,MATCH(LARGE(Scoring!$U$2:$U$151,$A24),Scoring!$U$2:$U$151,0)))</f>
        <v>MIDCAP50</v>
      </c>
      <c r="E24" s="3" t="str">
        <f aca="false">IF(LARGE(Scoring!$U$2:$U$151,$A24)&lt;0,"",INDEX(Tickers!$C$2:$C$151,MATCH(LARGE(Scoring!$U$2:$U$151,$A24),Scoring!$U$2:$U$151,0)))</f>
        <v>Healthcare</v>
      </c>
      <c r="F24" s="5" t="n">
        <f aca="false">IF(LARGE(Scoring!$U$2:$U$151,$A24)&lt;0,"",INDEX(Scoring!$M$2:$M$151,MATCH(LARGE(Scoring!$U$2:$U$151,$A24),Scoring!$U$2:$U$151,0)))</f>
        <v>50.7</v>
      </c>
      <c r="G24" s="3" t="str">
        <f aca="false">IF(LARGE(Scoring!$U$2:$U$151,$A24)&lt;0,"",INDEX(Scoring!$P$2:$P$151,MATCH(LARGE(Scoring!$U$2:$U$151,$A24),Scoring!$U$2:$U$151,0)))</f>
        <v>HOLD</v>
      </c>
      <c r="H24" s="3" t="str">
        <f aca="false">IF(LARGE(Scoring!$U$2:$U$151,$A24)&lt;0,"",INDEX(Scoring!$Q$2:$Q$151,MATCH(LARGE(Scoring!$U$2:$U$151,$A24),Scoring!$U$2:$U$151,0)))</f>
        <v>Low</v>
      </c>
      <c r="I24" s="12" t="n">
        <f aca="false">IF(LARGE(Scoring!$U$2:$U$151,$A24)&lt;0,"",INDEX(Scoring!$R$2:$R$151,MATCH(LARGE(Scoring!$U$2:$U$151,$A24),Scoring!$U$2:$U$151,0)))</f>
        <v>0</v>
      </c>
      <c r="J24" s="3" t="str">
        <f aca="false">IF(LARGE(Scoring!$U$2:$U$151,$A24)&lt;0,"",INDEX(Scoring!$S$2:$S$151,MATCH(LARGE(Scoring!$U$2:$U$151,$A24),Scoring!$U$2:$U$151,0)))</f>
        <v>Rich valuation</v>
      </c>
      <c r="K24" s="20" t="n">
        <f aca="false">IF(LARGE(Scoring!$U$2:$U$151,$A24)&lt;0,"",INDEX(PriceMetrics!$B$2:$B$151,MATCH(LARGE(Scoring!$U$2:$U$151,$A24),Scoring!$U$2:$U$151,0)))</f>
        <v>0</v>
      </c>
      <c r="L24" s="5" t="n">
        <f aca="false">IF(LARGE(Scoring!$U$2:$U$151,$A24)&lt;0,"",INDEX(Fundamentals!$C$2:$C$151,MATCH(LARGE(Scoring!$U$2:$U$151,$A24),Scoring!$U$2:$U$151,0)))</f>
        <v>0</v>
      </c>
      <c r="M24" s="12" t="n">
        <f aca="false">IF(LARGE(Scoring!$U$2:$U$151,$A24)&lt;0,"",INDEX(Fundamentals!$F$2:$F$151,MATCH(LARGE(Scoring!$U$2:$U$151,$A24),Scoring!$U$2:$U$151,0)))</f>
        <v>0</v>
      </c>
      <c r="N24" s="12" t="n">
        <f aca="false">IF(LARGE(Scoring!$U$2:$U$151,$A24)&lt;0,"",INDEX(PriceMetrics!$P$2:$P$151,MATCH(LARGE(Scoring!$U$2:$U$151,$A24),Scoring!$U$2:$U$151,0)))</f>
        <v>0</v>
      </c>
    </row>
    <row r="25" customFormat="false" ht="15" hidden="false" customHeight="false" outlineLevel="0" collapsed="false">
      <c r="A25" s="3" t="n">
        <v>24</v>
      </c>
      <c r="B25" s="3" t="str">
        <f aca="false">IF(LARGE(Scoring!$U$2:$U$151,$A25)&lt;0,"",INDEX(Scoring!$A$2:$A$151,MATCH(LARGE(Scoring!$U$2:$U$151,$A25),Scoring!$U$2:$U$151,0)))</f>
        <v>LUPIN</v>
      </c>
      <c r="C25" s="3" t="str">
        <f aca="false">IF(LARGE(Scoring!$U$2:$U$151,$A25)&lt;0,"",INDEX(Tickers!$B$2:$B$151,MATCH(LARGE(Scoring!$U$2:$U$151,$A25),Scoring!$U$2:$U$151,0)))</f>
        <v>Lupin Ltd.</v>
      </c>
      <c r="D25" s="3" t="str">
        <f aca="false">IF(LARGE(Scoring!$U$2:$U$151,$A25)&lt;0,"",INDEX(Tickers!$D$2:$D$151,MATCH(LARGE(Scoring!$U$2:$U$151,$A25),Scoring!$U$2:$U$151,0)))</f>
        <v>MIDCAP50</v>
      </c>
      <c r="E25" s="3" t="str">
        <f aca="false">IF(LARGE(Scoring!$U$2:$U$151,$A25)&lt;0,"",INDEX(Tickers!$C$2:$C$151,MATCH(LARGE(Scoring!$U$2:$U$151,$A25),Scoring!$U$2:$U$151,0)))</f>
        <v>Healthcare</v>
      </c>
      <c r="F25" s="5" t="n">
        <f aca="false">IF(LARGE(Scoring!$U$2:$U$151,$A25)&lt;0,"",INDEX(Scoring!$M$2:$M$151,MATCH(LARGE(Scoring!$U$2:$U$151,$A25),Scoring!$U$2:$U$151,0)))</f>
        <v>50.7</v>
      </c>
      <c r="G25" s="3" t="str">
        <f aca="false">IF(LARGE(Scoring!$U$2:$U$151,$A25)&lt;0,"",INDEX(Scoring!$P$2:$P$151,MATCH(LARGE(Scoring!$U$2:$U$151,$A25),Scoring!$U$2:$U$151,0)))</f>
        <v>HOLD</v>
      </c>
      <c r="H25" s="3" t="str">
        <f aca="false">IF(LARGE(Scoring!$U$2:$U$151,$A25)&lt;0,"",INDEX(Scoring!$Q$2:$Q$151,MATCH(LARGE(Scoring!$U$2:$U$151,$A25),Scoring!$U$2:$U$151,0)))</f>
        <v>Low</v>
      </c>
      <c r="I25" s="12" t="n">
        <f aca="false">IF(LARGE(Scoring!$U$2:$U$151,$A25)&lt;0,"",INDEX(Scoring!$R$2:$R$151,MATCH(LARGE(Scoring!$U$2:$U$151,$A25),Scoring!$U$2:$U$151,0)))</f>
        <v>0</v>
      </c>
      <c r="J25" s="3" t="str">
        <f aca="false">IF(LARGE(Scoring!$U$2:$U$151,$A25)&lt;0,"",INDEX(Scoring!$S$2:$S$151,MATCH(LARGE(Scoring!$U$2:$U$151,$A25),Scoring!$U$2:$U$151,0)))</f>
        <v>Rich valuation</v>
      </c>
      <c r="K25" s="20" t="n">
        <f aca="false">IF(LARGE(Scoring!$U$2:$U$151,$A25)&lt;0,"",INDEX(PriceMetrics!$B$2:$B$151,MATCH(LARGE(Scoring!$U$2:$U$151,$A25),Scoring!$U$2:$U$151,0)))</f>
        <v>0</v>
      </c>
      <c r="L25" s="5" t="n">
        <f aca="false">IF(LARGE(Scoring!$U$2:$U$151,$A25)&lt;0,"",INDEX(Fundamentals!$C$2:$C$151,MATCH(LARGE(Scoring!$U$2:$U$151,$A25),Scoring!$U$2:$U$151,0)))</f>
        <v>0</v>
      </c>
      <c r="M25" s="12" t="n">
        <f aca="false">IF(LARGE(Scoring!$U$2:$U$151,$A25)&lt;0,"",INDEX(Fundamentals!$F$2:$F$151,MATCH(LARGE(Scoring!$U$2:$U$151,$A25),Scoring!$U$2:$U$151,0)))</f>
        <v>0</v>
      </c>
      <c r="N25" s="12" t="n">
        <f aca="false">IF(LARGE(Scoring!$U$2:$U$151,$A25)&lt;0,"",INDEX(PriceMetrics!$P$2:$P$151,MATCH(LARGE(Scoring!$U$2:$U$151,$A25),Scoring!$U$2:$U$151,0)))</f>
        <v>0</v>
      </c>
    </row>
    <row r="26" customFormat="false" ht="15" hidden="false" customHeight="false" outlineLevel="0" collapsed="false">
      <c r="A26" s="3" t="n">
        <v>25</v>
      </c>
      <c r="B26" s="3" t="str">
        <f aca="false">IF(LARGE(Scoring!$U$2:$U$151,$A26)&lt;0,"",INDEX(Scoring!$A$2:$A$151,MATCH(LARGE(Scoring!$U$2:$U$151,$A26),Scoring!$U$2:$U$151,0)))</f>
        <v>LAURUSLABS</v>
      </c>
      <c r="C26" s="3" t="str">
        <f aca="false">IF(LARGE(Scoring!$U$2:$U$151,$A26)&lt;0,"",INDEX(Tickers!$B$2:$B$151,MATCH(LARGE(Scoring!$U$2:$U$151,$A26),Scoring!$U$2:$U$151,0)))</f>
        <v>Laurus Labs Ltd.</v>
      </c>
      <c r="D26" s="3" t="str">
        <f aca="false">IF(LARGE(Scoring!$U$2:$U$151,$A26)&lt;0,"",INDEX(Tickers!$D$2:$D$151,MATCH(LARGE(Scoring!$U$2:$U$151,$A26),Scoring!$U$2:$U$151,0)))</f>
        <v>MIDCAP50</v>
      </c>
      <c r="E26" s="3" t="str">
        <f aca="false">IF(LARGE(Scoring!$U$2:$U$151,$A26)&lt;0,"",INDEX(Tickers!$C$2:$C$151,MATCH(LARGE(Scoring!$U$2:$U$151,$A26),Scoring!$U$2:$U$151,0)))</f>
        <v>Healthcare</v>
      </c>
      <c r="F26" s="5" t="n">
        <f aca="false">IF(LARGE(Scoring!$U$2:$U$151,$A26)&lt;0,"",INDEX(Scoring!$M$2:$M$151,MATCH(LARGE(Scoring!$U$2:$U$151,$A26),Scoring!$U$2:$U$151,0)))</f>
        <v>50.7</v>
      </c>
      <c r="G26" s="3" t="str">
        <f aca="false">IF(LARGE(Scoring!$U$2:$U$151,$A26)&lt;0,"",INDEX(Scoring!$P$2:$P$151,MATCH(LARGE(Scoring!$U$2:$U$151,$A26),Scoring!$U$2:$U$151,0)))</f>
        <v>HOLD</v>
      </c>
      <c r="H26" s="3" t="str">
        <f aca="false">IF(LARGE(Scoring!$U$2:$U$151,$A26)&lt;0,"",INDEX(Scoring!$Q$2:$Q$151,MATCH(LARGE(Scoring!$U$2:$U$151,$A26),Scoring!$U$2:$U$151,0)))</f>
        <v>Low</v>
      </c>
      <c r="I26" s="12" t="n">
        <f aca="false">IF(LARGE(Scoring!$U$2:$U$151,$A26)&lt;0,"",INDEX(Scoring!$R$2:$R$151,MATCH(LARGE(Scoring!$U$2:$U$151,$A26),Scoring!$U$2:$U$151,0)))</f>
        <v>0</v>
      </c>
      <c r="J26" s="3" t="str">
        <f aca="false">IF(LARGE(Scoring!$U$2:$U$151,$A26)&lt;0,"",INDEX(Scoring!$S$2:$S$151,MATCH(LARGE(Scoring!$U$2:$U$151,$A26),Scoring!$U$2:$U$151,0)))</f>
        <v>Rich valuation</v>
      </c>
      <c r="K26" s="20" t="n">
        <f aca="false">IF(LARGE(Scoring!$U$2:$U$151,$A26)&lt;0,"",INDEX(PriceMetrics!$B$2:$B$151,MATCH(LARGE(Scoring!$U$2:$U$151,$A26),Scoring!$U$2:$U$151,0)))</f>
        <v>0</v>
      </c>
      <c r="L26" s="5" t="n">
        <f aca="false">IF(LARGE(Scoring!$U$2:$U$151,$A26)&lt;0,"",INDEX(Fundamentals!$C$2:$C$151,MATCH(LARGE(Scoring!$U$2:$U$151,$A26),Scoring!$U$2:$U$151,0)))</f>
        <v>0</v>
      </c>
      <c r="M26" s="12" t="n">
        <f aca="false">IF(LARGE(Scoring!$U$2:$U$151,$A26)&lt;0,"",INDEX(Fundamentals!$F$2:$F$151,MATCH(LARGE(Scoring!$U$2:$U$151,$A26),Scoring!$U$2:$U$151,0)))</f>
        <v>0</v>
      </c>
      <c r="N26" s="12" t="n">
        <f aca="false">IF(LARGE(Scoring!$U$2:$U$151,$A26)&lt;0,"",INDEX(PriceMetrics!$P$2:$P$151,MATCH(LARGE(Scoring!$U$2:$U$151,$A26),Scoring!$U$2:$U$151,0)))</f>
        <v>0</v>
      </c>
    </row>
    <row r="27" customFormat="false" ht="15" hidden="false" customHeight="false" outlineLevel="0" collapsed="false">
      <c r="A27" s="3" t="n">
        <v>26</v>
      </c>
      <c r="B27" s="3" t="str">
        <f aca="false">IF(LARGE(Scoring!$U$2:$U$151,$A27)&lt;0,"",INDEX(Scoring!$A$2:$A$151,MATCH(LARGE(Scoring!$U$2:$U$151,$A27),Scoring!$U$2:$U$151,0)))</f>
        <v>NAUKRI</v>
      </c>
      <c r="C27" s="3" t="str">
        <f aca="false">IF(LARGE(Scoring!$U$2:$U$151,$A27)&lt;0,"",INDEX(Tickers!$B$2:$B$151,MATCH(LARGE(Scoring!$U$2:$U$151,$A27),Scoring!$U$2:$U$151,0)))</f>
        <v>Info Edge (India) Ltd.</v>
      </c>
      <c r="D27" s="3" t="str">
        <f aca="false">IF(LARGE(Scoring!$U$2:$U$151,$A27)&lt;0,"",INDEX(Tickers!$D$2:$D$151,MATCH(LARGE(Scoring!$U$2:$U$151,$A27),Scoring!$U$2:$U$151,0)))</f>
        <v>MIDCAP50</v>
      </c>
      <c r="E27" s="3" t="str">
        <f aca="false">IF(LARGE(Scoring!$U$2:$U$151,$A27)&lt;0,"",INDEX(Tickers!$C$2:$C$151,MATCH(LARGE(Scoring!$U$2:$U$151,$A27),Scoring!$U$2:$U$151,0)))</f>
        <v>Consumer Services</v>
      </c>
      <c r="F27" s="5" t="n">
        <f aca="false">IF(LARGE(Scoring!$U$2:$U$151,$A27)&lt;0,"",INDEX(Scoring!$M$2:$M$151,MATCH(LARGE(Scoring!$U$2:$U$151,$A27),Scoring!$U$2:$U$151,0)))</f>
        <v>50.7</v>
      </c>
      <c r="G27" s="3" t="str">
        <f aca="false">IF(LARGE(Scoring!$U$2:$U$151,$A27)&lt;0,"",INDEX(Scoring!$P$2:$P$151,MATCH(LARGE(Scoring!$U$2:$U$151,$A27),Scoring!$U$2:$U$151,0)))</f>
        <v>HOLD</v>
      </c>
      <c r="H27" s="3" t="str">
        <f aca="false">IF(LARGE(Scoring!$U$2:$U$151,$A27)&lt;0,"",INDEX(Scoring!$Q$2:$Q$151,MATCH(LARGE(Scoring!$U$2:$U$151,$A27),Scoring!$U$2:$U$151,0)))</f>
        <v>Low</v>
      </c>
      <c r="I27" s="12" t="n">
        <f aca="false">IF(LARGE(Scoring!$U$2:$U$151,$A27)&lt;0,"",INDEX(Scoring!$R$2:$R$151,MATCH(LARGE(Scoring!$U$2:$U$151,$A27),Scoring!$U$2:$U$151,0)))</f>
        <v>0</v>
      </c>
      <c r="J27" s="3" t="str">
        <f aca="false">IF(LARGE(Scoring!$U$2:$U$151,$A27)&lt;0,"",INDEX(Scoring!$S$2:$S$151,MATCH(LARGE(Scoring!$U$2:$U$151,$A27),Scoring!$U$2:$U$151,0)))</f>
        <v>Rich valuation</v>
      </c>
      <c r="K27" s="20" t="n">
        <f aca="false">IF(LARGE(Scoring!$U$2:$U$151,$A27)&lt;0,"",INDEX(PriceMetrics!$B$2:$B$151,MATCH(LARGE(Scoring!$U$2:$U$151,$A27),Scoring!$U$2:$U$151,0)))</f>
        <v>0</v>
      </c>
      <c r="L27" s="5" t="n">
        <f aca="false">IF(LARGE(Scoring!$U$2:$U$151,$A27)&lt;0,"",INDEX(Fundamentals!$C$2:$C$151,MATCH(LARGE(Scoring!$U$2:$U$151,$A27),Scoring!$U$2:$U$151,0)))</f>
        <v>0</v>
      </c>
      <c r="M27" s="12" t="n">
        <f aca="false">IF(LARGE(Scoring!$U$2:$U$151,$A27)&lt;0,"",INDEX(Fundamentals!$F$2:$F$151,MATCH(LARGE(Scoring!$U$2:$U$151,$A27),Scoring!$U$2:$U$151,0)))</f>
        <v>0</v>
      </c>
      <c r="N27" s="12" t="n">
        <f aca="false">IF(LARGE(Scoring!$U$2:$U$151,$A27)&lt;0,"",INDEX(PriceMetrics!$P$2:$P$151,MATCH(LARGE(Scoring!$U$2:$U$151,$A27),Scoring!$U$2:$U$151,0)))</f>
        <v>0</v>
      </c>
    </row>
    <row r="28" customFormat="false" ht="15" hidden="false" customHeight="false" outlineLevel="0" collapsed="false">
      <c r="A28" s="3" t="n">
        <v>27</v>
      </c>
      <c r="B28" s="3" t="str">
        <f aca="false">IF(LARGE(Scoring!$U$2:$U$151,$A28)&lt;0,"",INDEX(Scoring!$A$2:$A$151,MATCH(LARGE(Scoring!$U$2:$U$151,$A28),Scoring!$U$2:$U$151,0)))</f>
        <v>INDUSINDBK</v>
      </c>
      <c r="C28" s="3" t="str">
        <f aca="false">IF(LARGE(Scoring!$U$2:$U$151,$A28)&lt;0,"",INDEX(Tickers!$B$2:$B$151,MATCH(LARGE(Scoring!$U$2:$U$151,$A28),Scoring!$U$2:$U$151,0)))</f>
        <v>IndusInd Bank Ltd.</v>
      </c>
      <c r="D28" s="3" t="str">
        <f aca="false">IF(LARGE(Scoring!$U$2:$U$151,$A28)&lt;0,"",INDEX(Tickers!$D$2:$D$151,MATCH(LARGE(Scoring!$U$2:$U$151,$A28),Scoring!$U$2:$U$151,0)))</f>
        <v>MIDCAP50</v>
      </c>
      <c r="E28" s="3" t="str">
        <f aca="false">IF(LARGE(Scoring!$U$2:$U$151,$A28)&lt;0,"",INDEX(Tickers!$C$2:$C$151,MATCH(LARGE(Scoring!$U$2:$U$151,$A28),Scoring!$U$2:$U$151,0)))</f>
        <v>Financial Services</v>
      </c>
      <c r="F28" s="5" t="n">
        <f aca="false">IF(LARGE(Scoring!$U$2:$U$151,$A28)&lt;0,"",INDEX(Scoring!$M$2:$M$151,MATCH(LARGE(Scoring!$U$2:$U$151,$A28),Scoring!$U$2:$U$151,0)))</f>
        <v>50.7</v>
      </c>
      <c r="G28" s="3" t="str">
        <f aca="false">IF(LARGE(Scoring!$U$2:$U$151,$A28)&lt;0,"",INDEX(Scoring!$P$2:$P$151,MATCH(LARGE(Scoring!$U$2:$U$151,$A28),Scoring!$U$2:$U$151,0)))</f>
        <v>HOLD</v>
      </c>
      <c r="H28" s="3" t="str">
        <f aca="false">IF(LARGE(Scoring!$U$2:$U$151,$A28)&lt;0,"",INDEX(Scoring!$Q$2:$Q$151,MATCH(LARGE(Scoring!$U$2:$U$151,$A28),Scoring!$U$2:$U$151,0)))</f>
        <v>Low</v>
      </c>
      <c r="I28" s="12" t="n">
        <f aca="false">IF(LARGE(Scoring!$U$2:$U$151,$A28)&lt;0,"",INDEX(Scoring!$R$2:$R$151,MATCH(LARGE(Scoring!$U$2:$U$151,$A28),Scoring!$U$2:$U$151,0)))</f>
        <v>0</v>
      </c>
      <c r="J28" s="3" t="str">
        <f aca="false">IF(LARGE(Scoring!$U$2:$U$151,$A28)&lt;0,"",INDEX(Scoring!$S$2:$S$151,MATCH(LARGE(Scoring!$U$2:$U$151,$A28),Scoring!$U$2:$U$151,0)))</f>
        <v>Rich valuation</v>
      </c>
      <c r="K28" s="20" t="n">
        <f aca="false">IF(LARGE(Scoring!$U$2:$U$151,$A28)&lt;0,"",INDEX(PriceMetrics!$B$2:$B$151,MATCH(LARGE(Scoring!$U$2:$U$151,$A28),Scoring!$U$2:$U$151,0)))</f>
        <v>0</v>
      </c>
      <c r="L28" s="5" t="n">
        <f aca="false">IF(LARGE(Scoring!$U$2:$U$151,$A28)&lt;0,"",INDEX(Fundamentals!$C$2:$C$151,MATCH(LARGE(Scoring!$U$2:$U$151,$A28),Scoring!$U$2:$U$151,0)))</f>
        <v>0</v>
      </c>
      <c r="M28" s="12" t="n">
        <f aca="false">IF(LARGE(Scoring!$U$2:$U$151,$A28)&lt;0,"",INDEX(Fundamentals!$F$2:$F$151,MATCH(LARGE(Scoring!$U$2:$U$151,$A28),Scoring!$U$2:$U$151,0)))</f>
        <v>0</v>
      </c>
      <c r="N28" s="12" t="n">
        <f aca="false">IF(LARGE(Scoring!$U$2:$U$151,$A28)&lt;0,"",INDEX(PriceMetrics!$P$2:$P$151,MATCH(LARGE(Scoring!$U$2:$U$151,$A28),Scoring!$U$2:$U$151,0)))</f>
        <v>0</v>
      </c>
    </row>
    <row r="29" customFormat="false" ht="15" hidden="false" customHeight="false" outlineLevel="0" collapsed="false">
      <c r="A29" s="3" t="n">
        <v>28</v>
      </c>
      <c r="B29" s="3" t="str">
        <f aca="false">IF(LARGE(Scoring!$U$2:$U$151,$A29)&lt;0,"",INDEX(Scoring!$A$2:$A$151,MATCH(LARGE(Scoring!$U$2:$U$151,$A29),Scoring!$U$2:$U$151,0)))</f>
        <v>INDUSTOWER</v>
      </c>
      <c r="C29" s="3" t="str">
        <f aca="false">IF(LARGE(Scoring!$U$2:$U$151,$A29)&lt;0,"",INDEX(Tickers!$B$2:$B$151,MATCH(LARGE(Scoring!$U$2:$U$151,$A29),Scoring!$U$2:$U$151,0)))</f>
        <v>Indus Towers Ltd.</v>
      </c>
      <c r="D29" s="3" t="str">
        <f aca="false">IF(LARGE(Scoring!$U$2:$U$151,$A29)&lt;0,"",INDEX(Tickers!$D$2:$D$151,MATCH(LARGE(Scoring!$U$2:$U$151,$A29),Scoring!$U$2:$U$151,0)))</f>
        <v>MIDCAP50</v>
      </c>
      <c r="E29" s="3" t="str">
        <f aca="false">IF(LARGE(Scoring!$U$2:$U$151,$A29)&lt;0,"",INDEX(Tickers!$C$2:$C$151,MATCH(LARGE(Scoring!$U$2:$U$151,$A29),Scoring!$U$2:$U$151,0)))</f>
        <v>Telecommunication</v>
      </c>
      <c r="F29" s="5" t="n">
        <f aca="false">IF(LARGE(Scoring!$U$2:$U$151,$A29)&lt;0,"",INDEX(Scoring!$M$2:$M$151,MATCH(LARGE(Scoring!$U$2:$U$151,$A29),Scoring!$U$2:$U$151,0)))</f>
        <v>50.7</v>
      </c>
      <c r="G29" s="3" t="str">
        <f aca="false">IF(LARGE(Scoring!$U$2:$U$151,$A29)&lt;0,"",INDEX(Scoring!$P$2:$P$151,MATCH(LARGE(Scoring!$U$2:$U$151,$A29),Scoring!$U$2:$U$151,0)))</f>
        <v>HOLD</v>
      </c>
      <c r="H29" s="3" t="str">
        <f aca="false">IF(LARGE(Scoring!$U$2:$U$151,$A29)&lt;0,"",INDEX(Scoring!$Q$2:$Q$151,MATCH(LARGE(Scoring!$U$2:$U$151,$A29),Scoring!$U$2:$U$151,0)))</f>
        <v>Low</v>
      </c>
      <c r="I29" s="12" t="n">
        <f aca="false">IF(LARGE(Scoring!$U$2:$U$151,$A29)&lt;0,"",INDEX(Scoring!$R$2:$R$151,MATCH(LARGE(Scoring!$U$2:$U$151,$A29),Scoring!$U$2:$U$151,0)))</f>
        <v>0</v>
      </c>
      <c r="J29" s="3" t="str">
        <f aca="false">IF(LARGE(Scoring!$U$2:$U$151,$A29)&lt;0,"",INDEX(Scoring!$S$2:$S$151,MATCH(LARGE(Scoring!$U$2:$U$151,$A29),Scoring!$U$2:$U$151,0)))</f>
        <v>Rich valuation</v>
      </c>
      <c r="K29" s="20" t="n">
        <f aca="false">IF(LARGE(Scoring!$U$2:$U$151,$A29)&lt;0,"",INDEX(PriceMetrics!$B$2:$B$151,MATCH(LARGE(Scoring!$U$2:$U$151,$A29),Scoring!$U$2:$U$151,0)))</f>
        <v>0</v>
      </c>
      <c r="L29" s="5" t="n">
        <f aca="false">IF(LARGE(Scoring!$U$2:$U$151,$A29)&lt;0,"",INDEX(Fundamentals!$C$2:$C$151,MATCH(LARGE(Scoring!$U$2:$U$151,$A29),Scoring!$U$2:$U$151,0)))</f>
        <v>0</v>
      </c>
      <c r="M29" s="12" t="n">
        <f aca="false">IF(LARGE(Scoring!$U$2:$U$151,$A29)&lt;0,"",INDEX(Fundamentals!$F$2:$F$151,MATCH(LARGE(Scoring!$U$2:$U$151,$A29),Scoring!$U$2:$U$151,0)))</f>
        <v>0</v>
      </c>
      <c r="N29" s="12" t="n">
        <f aca="false">IF(LARGE(Scoring!$U$2:$U$151,$A29)&lt;0,"",INDEX(PriceMetrics!$P$2:$P$151,MATCH(LARGE(Scoring!$U$2:$U$151,$A29),Scoring!$U$2:$U$151,0)))</f>
        <v>0</v>
      </c>
    </row>
    <row r="30" customFormat="false" ht="15" hidden="false" customHeight="false" outlineLevel="0" collapsed="false">
      <c r="A30" s="3" t="n">
        <v>29</v>
      </c>
      <c r="B30" s="3" t="str">
        <f aca="false">IF(LARGE(Scoring!$U$2:$U$151,$A30)&lt;0,"",INDEX(Scoring!$A$2:$A$151,MATCH(LARGE(Scoring!$U$2:$U$151,$A30),Scoring!$U$2:$U$151,0)))</f>
        <v>IDFCFIRSTB</v>
      </c>
      <c r="C30" s="3" t="str">
        <f aca="false">IF(LARGE(Scoring!$U$2:$U$151,$A30)&lt;0,"",INDEX(Tickers!$B$2:$B$151,MATCH(LARGE(Scoring!$U$2:$U$151,$A30),Scoring!$U$2:$U$151,0)))</f>
        <v>IDFC First Bank Ltd.</v>
      </c>
      <c r="D30" s="3" t="str">
        <f aca="false">IF(LARGE(Scoring!$U$2:$U$151,$A30)&lt;0,"",INDEX(Tickers!$D$2:$D$151,MATCH(LARGE(Scoring!$U$2:$U$151,$A30),Scoring!$U$2:$U$151,0)))</f>
        <v>MIDCAP50</v>
      </c>
      <c r="E30" s="3" t="str">
        <f aca="false">IF(LARGE(Scoring!$U$2:$U$151,$A30)&lt;0,"",INDEX(Tickers!$C$2:$C$151,MATCH(LARGE(Scoring!$U$2:$U$151,$A30),Scoring!$U$2:$U$151,0)))</f>
        <v>Financial Services</v>
      </c>
      <c r="F30" s="5" t="n">
        <f aca="false">IF(LARGE(Scoring!$U$2:$U$151,$A30)&lt;0,"",INDEX(Scoring!$M$2:$M$151,MATCH(LARGE(Scoring!$U$2:$U$151,$A30),Scoring!$U$2:$U$151,0)))</f>
        <v>50.7</v>
      </c>
      <c r="G30" s="3" t="str">
        <f aca="false">IF(LARGE(Scoring!$U$2:$U$151,$A30)&lt;0,"",INDEX(Scoring!$P$2:$P$151,MATCH(LARGE(Scoring!$U$2:$U$151,$A30),Scoring!$U$2:$U$151,0)))</f>
        <v>HOLD</v>
      </c>
      <c r="H30" s="3" t="str">
        <f aca="false">IF(LARGE(Scoring!$U$2:$U$151,$A30)&lt;0,"",INDEX(Scoring!$Q$2:$Q$151,MATCH(LARGE(Scoring!$U$2:$U$151,$A30),Scoring!$U$2:$U$151,0)))</f>
        <v>Low</v>
      </c>
      <c r="I30" s="12" t="n">
        <f aca="false">IF(LARGE(Scoring!$U$2:$U$151,$A30)&lt;0,"",INDEX(Scoring!$R$2:$R$151,MATCH(LARGE(Scoring!$U$2:$U$151,$A30),Scoring!$U$2:$U$151,0)))</f>
        <v>0</v>
      </c>
      <c r="J30" s="3" t="str">
        <f aca="false">IF(LARGE(Scoring!$U$2:$U$151,$A30)&lt;0,"",INDEX(Scoring!$S$2:$S$151,MATCH(LARGE(Scoring!$U$2:$U$151,$A30),Scoring!$U$2:$U$151,0)))</f>
        <v>Rich valuation</v>
      </c>
      <c r="K30" s="20" t="n">
        <f aca="false">IF(LARGE(Scoring!$U$2:$U$151,$A30)&lt;0,"",INDEX(PriceMetrics!$B$2:$B$151,MATCH(LARGE(Scoring!$U$2:$U$151,$A30),Scoring!$U$2:$U$151,0)))</f>
        <v>0</v>
      </c>
      <c r="L30" s="5" t="n">
        <f aca="false">IF(LARGE(Scoring!$U$2:$U$151,$A30)&lt;0,"",INDEX(Fundamentals!$C$2:$C$151,MATCH(LARGE(Scoring!$U$2:$U$151,$A30),Scoring!$U$2:$U$151,0)))</f>
        <v>0</v>
      </c>
      <c r="M30" s="12" t="n">
        <f aca="false">IF(LARGE(Scoring!$U$2:$U$151,$A30)&lt;0,"",INDEX(Fundamentals!$F$2:$F$151,MATCH(LARGE(Scoring!$U$2:$U$151,$A30),Scoring!$U$2:$U$151,0)))</f>
        <v>0</v>
      </c>
      <c r="N30" s="12" t="n">
        <f aca="false">IF(LARGE(Scoring!$U$2:$U$151,$A30)&lt;0,"",INDEX(PriceMetrics!$P$2:$P$151,MATCH(LARGE(Scoring!$U$2:$U$151,$A30),Scoring!$U$2:$U$151,0)))</f>
        <v>0</v>
      </c>
    </row>
    <row r="31" customFormat="false" ht="15" hidden="false" customHeight="false" outlineLevel="0" collapsed="false">
      <c r="A31" s="3" t="n">
        <v>30</v>
      </c>
      <c r="B31" s="3" t="str">
        <f aca="false">IF(LARGE(Scoring!$U$2:$U$151,$A31)&lt;0,"",INDEX(Scoring!$A$2:$A$151,MATCH(LARGE(Scoring!$U$2:$U$151,$A31),Scoring!$U$2:$U$151,0)))</f>
        <v>ICICIGI</v>
      </c>
      <c r="C31" s="3" t="str">
        <f aca="false">IF(LARGE(Scoring!$U$2:$U$151,$A31)&lt;0,"",INDEX(Tickers!$B$2:$B$151,MATCH(LARGE(Scoring!$U$2:$U$151,$A31),Scoring!$U$2:$U$151,0)))</f>
        <v>ICICI Lombard General Insurance Company Ltd.</v>
      </c>
      <c r="D31" s="3" t="str">
        <f aca="false">IF(LARGE(Scoring!$U$2:$U$151,$A31)&lt;0,"",INDEX(Tickers!$D$2:$D$151,MATCH(LARGE(Scoring!$U$2:$U$151,$A31),Scoring!$U$2:$U$151,0)))</f>
        <v>MIDCAP50</v>
      </c>
      <c r="E31" s="3" t="str">
        <f aca="false">IF(LARGE(Scoring!$U$2:$U$151,$A31)&lt;0,"",INDEX(Tickers!$C$2:$C$151,MATCH(LARGE(Scoring!$U$2:$U$151,$A31),Scoring!$U$2:$U$151,0)))</f>
        <v>Financial Services</v>
      </c>
      <c r="F31" s="5" t="n">
        <f aca="false">IF(LARGE(Scoring!$U$2:$U$151,$A31)&lt;0,"",INDEX(Scoring!$M$2:$M$151,MATCH(LARGE(Scoring!$U$2:$U$151,$A31),Scoring!$U$2:$U$151,0)))</f>
        <v>50.7</v>
      </c>
      <c r="G31" s="3" t="str">
        <f aca="false">IF(LARGE(Scoring!$U$2:$U$151,$A31)&lt;0,"",INDEX(Scoring!$P$2:$P$151,MATCH(LARGE(Scoring!$U$2:$U$151,$A31),Scoring!$U$2:$U$151,0)))</f>
        <v>HOLD</v>
      </c>
      <c r="H31" s="3" t="str">
        <f aca="false">IF(LARGE(Scoring!$U$2:$U$151,$A31)&lt;0,"",INDEX(Scoring!$Q$2:$Q$151,MATCH(LARGE(Scoring!$U$2:$U$151,$A31),Scoring!$U$2:$U$151,0)))</f>
        <v>Low</v>
      </c>
      <c r="I31" s="12" t="n">
        <f aca="false">IF(LARGE(Scoring!$U$2:$U$151,$A31)&lt;0,"",INDEX(Scoring!$R$2:$R$151,MATCH(LARGE(Scoring!$U$2:$U$151,$A31),Scoring!$U$2:$U$151,0)))</f>
        <v>0</v>
      </c>
      <c r="J31" s="3" t="str">
        <f aca="false">IF(LARGE(Scoring!$U$2:$U$151,$A31)&lt;0,"",INDEX(Scoring!$S$2:$S$151,MATCH(LARGE(Scoring!$U$2:$U$151,$A31),Scoring!$U$2:$U$151,0)))</f>
        <v>Rich valuation</v>
      </c>
      <c r="K31" s="20" t="n">
        <f aca="false">IF(LARGE(Scoring!$U$2:$U$151,$A31)&lt;0,"",INDEX(PriceMetrics!$B$2:$B$151,MATCH(LARGE(Scoring!$U$2:$U$151,$A31),Scoring!$U$2:$U$151,0)))</f>
        <v>0</v>
      </c>
      <c r="L31" s="5" t="n">
        <f aca="false">IF(LARGE(Scoring!$U$2:$U$151,$A31)&lt;0,"",INDEX(Fundamentals!$C$2:$C$151,MATCH(LARGE(Scoring!$U$2:$U$151,$A31),Scoring!$U$2:$U$151,0)))</f>
        <v>0</v>
      </c>
      <c r="M31" s="12" t="n">
        <f aca="false">IF(LARGE(Scoring!$U$2:$U$151,$A31)&lt;0,"",INDEX(Fundamentals!$F$2:$F$151,MATCH(LARGE(Scoring!$U$2:$U$151,$A31),Scoring!$U$2:$U$151,0)))</f>
        <v>0</v>
      </c>
      <c r="N31" s="12" t="n">
        <f aca="false">IF(LARGE(Scoring!$U$2:$U$151,$A31)&lt;0,"",INDEX(PriceMetrics!$P$2:$P$151,MATCH(LARGE(Scoring!$U$2:$U$151,$A31),Scoring!$U$2:$U$151,0)))</f>
        <v>0</v>
      </c>
    </row>
    <row r="32" customFormat="false" ht="15" hidden="false" customHeight="false" outlineLevel="0" collapsed="false">
      <c r="A32" s="3" t="n">
        <v>31</v>
      </c>
      <c r="B32" s="3" t="str">
        <f aca="false">IF(LARGE(Scoring!$U$2:$U$151,$A32)&lt;0,"",INDEX(Scoring!$A$2:$A$151,MATCH(LARGE(Scoring!$U$2:$U$151,$A32),Scoring!$U$2:$U$151,0)))</f>
        <v>HINDPETRO</v>
      </c>
      <c r="C32" s="3" t="str">
        <f aca="false">IF(LARGE(Scoring!$U$2:$U$151,$A32)&lt;0,"",INDEX(Tickers!$B$2:$B$151,MATCH(LARGE(Scoring!$U$2:$U$151,$A32),Scoring!$U$2:$U$151,0)))</f>
        <v>Hindustan Petroleum Corporation Ltd.</v>
      </c>
      <c r="D32" s="3" t="str">
        <f aca="false">IF(LARGE(Scoring!$U$2:$U$151,$A32)&lt;0,"",INDEX(Tickers!$D$2:$D$151,MATCH(LARGE(Scoring!$U$2:$U$151,$A32),Scoring!$U$2:$U$151,0)))</f>
        <v>MIDCAP50</v>
      </c>
      <c r="E32" s="3" t="str">
        <f aca="false">IF(LARGE(Scoring!$U$2:$U$151,$A32)&lt;0,"",INDEX(Tickers!$C$2:$C$151,MATCH(LARGE(Scoring!$U$2:$U$151,$A32),Scoring!$U$2:$U$151,0)))</f>
        <v>Oil Gas &amp; Consumable Fuels</v>
      </c>
      <c r="F32" s="5" t="n">
        <f aca="false">IF(LARGE(Scoring!$U$2:$U$151,$A32)&lt;0,"",INDEX(Scoring!$M$2:$M$151,MATCH(LARGE(Scoring!$U$2:$U$151,$A32),Scoring!$U$2:$U$151,0)))</f>
        <v>50.7</v>
      </c>
      <c r="G32" s="3" t="str">
        <f aca="false">IF(LARGE(Scoring!$U$2:$U$151,$A32)&lt;0,"",INDEX(Scoring!$P$2:$P$151,MATCH(LARGE(Scoring!$U$2:$U$151,$A32),Scoring!$U$2:$U$151,0)))</f>
        <v>HOLD</v>
      </c>
      <c r="H32" s="3" t="str">
        <f aca="false">IF(LARGE(Scoring!$U$2:$U$151,$A32)&lt;0,"",INDEX(Scoring!$Q$2:$Q$151,MATCH(LARGE(Scoring!$U$2:$U$151,$A32),Scoring!$U$2:$U$151,0)))</f>
        <v>Low</v>
      </c>
      <c r="I32" s="12" t="n">
        <f aca="false">IF(LARGE(Scoring!$U$2:$U$151,$A32)&lt;0,"",INDEX(Scoring!$R$2:$R$151,MATCH(LARGE(Scoring!$U$2:$U$151,$A32),Scoring!$U$2:$U$151,0)))</f>
        <v>0</v>
      </c>
      <c r="J32" s="3" t="str">
        <f aca="false">IF(LARGE(Scoring!$U$2:$U$151,$A32)&lt;0,"",INDEX(Scoring!$S$2:$S$151,MATCH(LARGE(Scoring!$U$2:$U$151,$A32),Scoring!$U$2:$U$151,0)))</f>
        <v>Rich valuation</v>
      </c>
      <c r="K32" s="20" t="n">
        <f aca="false">IF(LARGE(Scoring!$U$2:$U$151,$A32)&lt;0,"",INDEX(PriceMetrics!$B$2:$B$151,MATCH(LARGE(Scoring!$U$2:$U$151,$A32),Scoring!$U$2:$U$151,0)))</f>
        <v>0</v>
      </c>
      <c r="L32" s="5" t="n">
        <f aca="false">IF(LARGE(Scoring!$U$2:$U$151,$A32)&lt;0,"",INDEX(Fundamentals!$C$2:$C$151,MATCH(LARGE(Scoring!$U$2:$U$151,$A32),Scoring!$U$2:$U$151,0)))</f>
        <v>0</v>
      </c>
      <c r="M32" s="12" t="n">
        <f aca="false">IF(LARGE(Scoring!$U$2:$U$151,$A32)&lt;0,"",INDEX(Fundamentals!$F$2:$F$151,MATCH(LARGE(Scoring!$U$2:$U$151,$A32),Scoring!$U$2:$U$151,0)))</f>
        <v>0</v>
      </c>
      <c r="N32" s="12" t="n">
        <f aca="false">IF(LARGE(Scoring!$U$2:$U$151,$A32)&lt;0,"",INDEX(PriceMetrics!$P$2:$P$151,MATCH(LARGE(Scoring!$U$2:$U$151,$A32),Scoring!$U$2:$U$151,0)))</f>
        <v>0</v>
      </c>
    </row>
    <row r="33" customFormat="false" ht="15" hidden="false" customHeight="false" outlineLevel="0" collapsed="false">
      <c r="A33" s="3" t="n">
        <v>32</v>
      </c>
      <c r="B33" s="3" t="str">
        <f aca="false">IF(LARGE(Scoring!$U$2:$U$151,$A33)&lt;0,"",INDEX(Scoring!$A$2:$A$151,MATCH(LARGE(Scoring!$U$2:$U$151,$A33),Scoring!$U$2:$U$151,0)))</f>
        <v>HEROMOTOCO</v>
      </c>
      <c r="C33" s="3" t="str">
        <f aca="false">IF(LARGE(Scoring!$U$2:$U$151,$A33)&lt;0,"",INDEX(Tickers!$B$2:$B$151,MATCH(LARGE(Scoring!$U$2:$U$151,$A33),Scoring!$U$2:$U$151,0)))</f>
        <v>Hero MotoCorp Ltd.</v>
      </c>
      <c r="D33" s="3" t="str">
        <f aca="false">IF(LARGE(Scoring!$U$2:$U$151,$A33)&lt;0,"",INDEX(Tickers!$D$2:$D$151,MATCH(LARGE(Scoring!$U$2:$U$151,$A33),Scoring!$U$2:$U$151,0)))</f>
        <v>MIDCAP50</v>
      </c>
      <c r="E33" s="3" t="str">
        <f aca="false">IF(LARGE(Scoring!$U$2:$U$151,$A33)&lt;0,"",INDEX(Tickers!$C$2:$C$151,MATCH(LARGE(Scoring!$U$2:$U$151,$A33),Scoring!$U$2:$U$151,0)))</f>
        <v>Automobile and Auto Components</v>
      </c>
      <c r="F33" s="5" t="n">
        <f aca="false">IF(LARGE(Scoring!$U$2:$U$151,$A33)&lt;0,"",INDEX(Scoring!$M$2:$M$151,MATCH(LARGE(Scoring!$U$2:$U$151,$A33),Scoring!$U$2:$U$151,0)))</f>
        <v>50.7</v>
      </c>
      <c r="G33" s="3" t="str">
        <f aca="false">IF(LARGE(Scoring!$U$2:$U$151,$A33)&lt;0,"",INDEX(Scoring!$P$2:$P$151,MATCH(LARGE(Scoring!$U$2:$U$151,$A33),Scoring!$U$2:$U$151,0)))</f>
        <v>HOLD</v>
      </c>
      <c r="H33" s="3" t="str">
        <f aca="false">IF(LARGE(Scoring!$U$2:$U$151,$A33)&lt;0,"",INDEX(Scoring!$Q$2:$Q$151,MATCH(LARGE(Scoring!$U$2:$U$151,$A33),Scoring!$U$2:$U$151,0)))</f>
        <v>Low</v>
      </c>
      <c r="I33" s="12" t="n">
        <f aca="false">IF(LARGE(Scoring!$U$2:$U$151,$A33)&lt;0,"",INDEX(Scoring!$R$2:$R$151,MATCH(LARGE(Scoring!$U$2:$U$151,$A33),Scoring!$U$2:$U$151,0)))</f>
        <v>0</v>
      </c>
      <c r="J33" s="3" t="str">
        <f aca="false">IF(LARGE(Scoring!$U$2:$U$151,$A33)&lt;0,"",INDEX(Scoring!$S$2:$S$151,MATCH(LARGE(Scoring!$U$2:$U$151,$A33),Scoring!$U$2:$U$151,0)))</f>
        <v>Rich valuation</v>
      </c>
      <c r="K33" s="20" t="n">
        <f aca="false">IF(LARGE(Scoring!$U$2:$U$151,$A33)&lt;0,"",INDEX(PriceMetrics!$B$2:$B$151,MATCH(LARGE(Scoring!$U$2:$U$151,$A33),Scoring!$U$2:$U$151,0)))</f>
        <v>0</v>
      </c>
      <c r="L33" s="5" t="n">
        <f aca="false">IF(LARGE(Scoring!$U$2:$U$151,$A33)&lt;0,"",INDEX(Fundamentals!$C$2:$C$151,MATCH(LARGE(Scoring!$U$2:$U$151,$A33),Scoring!$U$2:$U$151,0)))</f>
        <v>0</v>
      </c>
      <c r="M33" s="12" t="n">
        <f aca="false">IF(LARGE(Scoring!$U$2:$U$151,$A33)&lt;0,"",INDEX(Fundamentals!$F$2:$F$151,MATCH(LARGE(Scoring!$U$2:$U$151,$A33),Scoring!$U$2:$U$151,0)))</f>
        <v>0</v>
      </c>
      <c r="N33" s="12" t="n">
        <f aca="false">IF(LARGE(Scoring!$U$2:$U$151,$A33)&lt;0,"",INDEX(PriceMetrics!$P$2:$P$151,MATCH(LARGE(Scoring!$U$2:$U$151,$A33),Scoring!$U$2:$U$151,0)))</f>
        <v>0</v>
      </c>
    </row>
    <row r="34" customFormat="false" ht="15" hidden="false" customHeight="false" outlineLevel="0" collapsed="false">
      <c r="A34" s="3" t="n">
        <v>33</v>
      </c>
      <c r="B34" s="3" t="str">
        <f aca="false">IF(LARGE(Scoring!$U$2:$U$151,$A34)&lt;0,"",INDEX(Scoring!$A$2:$A$151,MATCH(LARGE(Scoring!$U$2:$U$151,$A34),Scoring!$U$2:$U$151,0)))</f>
        <v>HAVELLS</v>
      </c>
      <c r="C34" s="3" t="str">
        <f aca="false">IF(LARGE(Scoring!$U$2:$U$151,$A34)&lt;0,"",INDEX(Tickers!$B$2:$B$151,MATCH(LARGE(Scoring!$U$2:$U$151,$A34),Scoring!$U$2:$U$151,0)))</f>
        <v>Havells India Ltd.</v>
      </c>
      <c r="D34" s="3" t="str">
        <f aca="false">IF(LARGE(Scoring!$U$2:$U$151,$A34)&lt;0,"",INDEX(Tickers!$D$2:$D$151,MATCH(LARGE(Scoring!$U$2:$U$151,$A34),Scoring!$U$2:$U$151,0)))</f>
        <v>MIDCAP50</v>
      </c>
      <c r="E34" s="3" t="str">
        <f aca="false">IF(LARGE(Scoring!$U$2:$U$151,$A34)&lt;0,"",INDEX(Tickers!$C$2:$C$151,MATCH(LARGE(Scoring!$U$2:$U$151,$A34),Scoring!$U$2:$U$151,0)))</f>
        <v>Consumer Durables</v>
      </c>
      <c r="F34" s="5" t="n">
        <f aca="false">IF(LARGE(Scoring!$U$2:$U$151,$A34)&lt;0,"",INDEX(Scoring!$M$2:$M$151,MATCH(LARGE(Scoring!$U$2:$U$151,$A34),Scoring!$U$2:$U$151,0)))</f>
        <v>50.7</v>
      </c>
      <c r="G34" s="3" t="str">
        <f aca="false">IF(LARGE(Scoring!$U$2:$U$151,$A34)&lt;0,"",INDEX(Scoring!$P$2:$P$151,MATCH(LARGE(Scoring!$U$2:$U$151,$A34),Scoring!$U$2:$U$151,0)))</f>
        <v>HOLD</v>
      </c>
      <c r="H34" s="3" t="str">
        <f aca="false">IF(LARGE(Scoring!$U$2:$U$151,$A34)&lt;0,"",INDEX(Scoring!$Q$2:$Q$151,MATCH(LARGE(Scoring!$U$2:$U$151,$A34),Scoring!$U$2:$U$151,0)))</f>
        <v>Low</v>
      </c>
      <c r="I34" s="12" t="n">
        <f aca="false">IF(LARGE(Scoring!$U$2:$U$151,$A34)&lt;0,"",INDEX(Scoring!$R$2:$R$151,MATCH(LARGE(Scoring!$U$2:$U$151,$A34),Scoring!$U$2:$U$151,0)))</f>
        <v>0</v>
      </c>
      <c r="J34" s="3" t="str">
        <f aca="false">IF(LARGE(Scoring!$U$2:$U$151,$A34)&lt;0,"",INDEX(Scoring!$S$2:$S$151,MATCH(LARGE(Scoring!$U$2:$U$151,$A34),Scoring!$U$2:$U$151,0)))</f>
        <v>Rich valuation</v>
      </c>
      <c r="K34" s="20" t="n">
        <f aca="false">IF(LARGE(Scoring!$U$2:$U$151,$A34)&lt;0,"",INDEX(PriceMetrics!$B$2:$B$151,MATCH(LARGE(Scoring!$U$2:$U$151,$A34),Scoring!$U$2:$U$151,0)))</f>
        <v>0</v>
      </c>
      <c r="L34" s="5" t="n">
        <f aca="false">IF(LARGE(Scoring!$U$2:$U$151,$A34)&lt;0,"",INDEX(Fundamentals!$C$2:$C$151,MATCH(LARGE(Scoring!$U$2:$U$151,$A34),Scoring!$U$2:$U$151,0)))</f>
        <v>0</v>
      </c>
      <c r="M34" s="12" t="n">
        <f aca="false">IF(LARGE(Scoring!$U$2:$U$151,$A34)&lt;0,"",INDEX(Fundamentals!$F$2:$F$151,MATCH(LARGE(Scoring!$U$2:$U$151,$A34),Scoring!$U$2:$U$151,0)))</f>
        <v>0</v>
      </c>
      <c r="N34" s="12" t="n">
        <f aca="false">IF(LARGE(Scoring!$U$2:$U$151,$A34)&lt;0,"",INDEX(PriceMetrics!$P$2:$P$151,MATCH(LARGE(Scoring!$U$2:$U$151,$A34),Scoring!$U$2:$U$151,0)))</f>
        <v>0</v>
      </c>
    </row>
    <row r="35" customFormat="false" ht="15" hidden="false" customHeight="false" outlineLevel="0" collapsed="false">
      <c r="A35" s="3" t="n">
        <v>34</v>
      </c>
      <c r="B35" s="3" t="str">
        <f aca="false">IF(LARGE(Scoring!$U$2:$U$151,$A35)&lt;0,"",INDEX(Scoring!$A$2:$A$151,MATCH(LARGE(Scoring!$U$2:$U$151,$A35),Scoring!$U$2:$U$151,0)))</f>
        <v>GODREJPROP</v>
      </c>
      <c r="C35" s="3" t="str">
        <f aca="false">IF(LARGE(Scoring!$U$2:$U$151,$A35)&lt;0,"",INDEX(Tickers!$B$2:$B$151,MATCH(LARGE(Scoring!$U$2:$U$151,$A35),Scoring!$U$2:$U$151,0)))</f>
        <v>Godrej Properties Ltd.</v>
      </c>
      <c r="D35" s="3" t="str">
        <f aca="false">IF(LARGE(Scoring!$U$2:$U$151,$A35)&lt;0,"",INDEX(Tickers!$D$2:$D$151,MATCH(LARGE(Scoring!$U$2:$U$151,$A35),Scoring!$U$2:$U$151,0)))</f>
        <v>MIDCAP50</v>
      </c>
      <c r="E35" s="3" t="str">
        <f aca="false">IF(LARGE(Scoring!$U$2:$U$151,$A35)&lt;0,"",INDEX(Tickers!$C$2:$C$151,MATCH(LARGE(Scoring!$U$2:$U$151,$A35),Scoring!$U$2:$U$151,0)))</f>
        <v>Realty</v>
      </c>
      <c r="F35" s="5" t="n">
        <f aca="false">IF(LARGE(Scoring!$U$2:$U$151,$A35)&lt;0,"",INDEX(Scoring!$M$2:$M$151,MATCH(LARGE(Scoring!$U$2:$U$151,$A35),Scoring!$U$2:$U$151,0)))</f>
        <v>50.7</v>
      </c>
      <c r="G35" s="3" t="str">
        <f aca="false">IF(LARGE(Scoring!$U$2:$U$151,$A35)&lt;0,"",INDEX(Scoring!$P$2:$P$151,MATCH(LARGE(Scoring!$U$2:$U$151,$A35),Scoring!$U$2:$U$151,0)))</f>
        <v>HOLD</v>
      </c>
      <c r="H35" s="3" t="str">
        <f aca="false">IF(LARGE(Scoring!$U$2:$U$151,$A35)&lt;0,"",INDEX(Scoring!$Q$2:$Q$151,MATCH(LARGE(Scoring!$U$2:$U$151,$A35),Scoring!$U$2:$U$151,0)))</f>
        <v>Low</v>
      </c>
      <c r="I35" s="12" t="n">
        <f aca="false">IF(LARGE(Scoring!$U$2:$U$151,$A35)&lt;0,"",INDEX(Scoring!$R$2:$R$151,MATCH(LARGE(Scoring!$U$2:$U$151,$A35),Scoring!$U$2:$U$151,0)))</f>
        <v>0</v>
      </c>
      <c r="J35" s="3" t="str">
        <f aca="false">IF(LARGE(Scoring!$U$2:$U$151,$A35)&lt;0,"",INDEX(Scoring!$S$2:$S$151,MATCH(LARGE(Scoring!$U$2:$U$151,$A35),Scoring!$U$2:$U$151,0)))</f>
        <v>Rich valuation</v>
      </c>
      <c r="K35" s="20" t="n">
        <f aca="false">IF(LARGE(Scoring!$U$2:$U$151,$A35)&lt;0,"",INDEX(PriceMetrics!$B$2:$B$151,MATCH(LARGE(Scoring!$U$2:$U$151,$A35),Scoring!$U$2:$U$151,0)))</f>
        <v>0</v>
      </c>
      <c r="L35" s="5" t="n">
        <f aca="false">IF(LARGE(Scoring!$U$2:$U$151,$A35)&lt;0,"",INDEX(Fundamentals!$C$2:$C$151,MATCH(LARGE(Scoring!$U$2:$U$151,$A35),Scoring!$U$2:$U$151,0)))</f>
        <v>0</v>
      </c>
      <c r="M35" s="12" t="n">
        <f aca="false">IF(LARGE(Scoring!$U$2:$U$151,$A35)&lt;0,"",INDEX(Fundamentals!$F$2:$F$151,MATCH(LARGE(Scoring!$U$2:$U$151,$A35),Scoring!$U$2:$U$151,0)))</f>
        <v>0</v>
      </c>
      <c r="N35" s="12" t="n">
        <f aca="false">IF(LARGE(Scoring!$U$2:$U$151,$A35)&lt;0,"",INDEX(PriceMetrics!$P$2:$P$151,MATCH(LARGE(Scoring!$U$2:$U$151,$A35),Scoring!$U$2:$U$151,0)))</f>
        <v>0</v>
      </c>
    </row>
    <row r="36" customFormat="false" ht="15" hidden="false" customHeight="false" outlineLevel="0" collapsed="false">
      <c r="A36" s="3" t="n">
        <v>35</v>
      </c>
      <c r="B36" s="3" t="str">
        <f aca="false">IF(LARGE(Scoring!$U$2:$U$151,$A36)&lt;0,"",INDEX(Scoring!$A$2:$A$151,MATCH(LARGE(Scoring!$U$2:$U$151,$A36),Scoring!$U$2:$U$151,0)))</f>
        <v>GMRAIRPORT</v>
      </c>
      <c r="C36" s="3" t="str">
        <f aca="false">IF(LARGE(Scoring!$U$2:$U$151,$A36)&lt;0,"",INDEX(Tickers!$B$2:$B$151,MATCH(LARGE(Scoring!$U$2:$U$151,$A36),Scoring!$U$2:$U$151,0)))</f>
        <v>GMR Airports Ltd.</v>
      </c>
      <c r="D36" s="3" t="str">
        <f aca="false">IF(LARGE(Scoring!$U$2:$U$151,$A36)&lt;0,"",INDEX(Tickers!$D$2:$D$151,MATCH(LARGE(Scoring!$U$2:$U$151,$A36),Scoring!$U$2:$U$151,0)))</f>
        <v>MIDCAP50</v>
      </c>
      <c r="E36" s="3" t="str">
        <f aca="false">IF(LARGE(Scoring!$U$2:$U$151,$A36)&lt;0,"",INDEX(Tickers!$C$2:$C$151,MATCH(LARGE(Scoring!$U$2:$U$151,$A36),Scoring!$U$2:$U$151,0)))</f>
        <v>Services</v>
      </c>
      <c r="F36" s="5" t="n">
        <f aca="false">IF(LARGE(Scoring!$U$2:$U$151,$A36)&lt;0,"",INDEX(Scoring!$M$2:$M$151,MATCH(LARGE(Scoring!$U$2:$U$151,$A36),Scoring!$U$2:$U$151,0)))</f>
        <v>50.7</v>
      </c>
      <c r="G36" s="3" t="str">
        <f aca="false">IF(LARGE(Scoring!$U$2:$U$151,$A36)&lt;0,"",INDEX(Scoring!$P$2:$P$151,MATCH(LARGE(Scoring!$U$2:$U$151,$A36),Scoring!$U$2:$U$151,0)))</f>
        <v>HOLD</v>
      </c>
      <c r="H36" s="3" t="str">
        <f aca="false">IF(LARGE(Scoring!$U$2:$U$151,$A36)&lt;0,"",INDEX(Scoring!$Q$2:$Q$151,MATCH(LARGE(Scoring!$U$2:$U$151,$A36),Scoring!$U$2:$U$151,0)))</f>
        <v>Low</v>
      </c>
      <c r="I36" s="12" t="n">
        <f aca="false">IF(LARGE(Scoring!$U$2:$U$151,$A36)&lt;0,"",INDEX(Scoring!$R$2:$R$151,MATCH(LARGE(Scoring!$U$2:$U$151,$A36),Scoring!$U$2:$U$151,0)))</f>
        <v>0</v>
      </c>
      <c r="J36" s="3" t="str">
        <f aca="false">IF(LARGE(Scoring!$U$2:$U$151,$A36)&lt;0,"",INDEX(Scoring!$S$2:$S$151,MATCH(LARGE(Scoring!$U$2:$U$151,$A36),Scoring!$U$2:$U$151,0)))</f>
        <v>Rich valuation</v>
      </c>
      <c r="K36" s="20" t="n">
        <f aca="false">IF(LARGE(Scoring!$U$2:$U$151,$A36)&lt;0,"",INDEX(PriceMetrics!$B$2:$B$151,MATCH(LARGE(Scoring!$U$2:$U$151,$A36),Scoring!$U$2:$U$151,0)))</f>
        <v>0</v>
      </c>
      <c r="L36" s="5" t="n">
        <f aca="false">IF(LARGE(Scoring!$U$2:$U$151,$A36)&lt;0,"",INDEX(Fundamentals!$C$2:$C$151,MATCH(LARGE(Scoring!$U$2:$U$151,$A36),Scoring!$U$2:$U$151,0)))</f>
        <v>0</v>
      </c>
      <c r="M36" s="12" t="n">
        <f aca="false">IF(LARGE(Scoring!$U$2:$U$151,$A36)&lt;0,"",INDEX(Fundamentals!$F$2:$F$151,MATCH(LARGE(Scoring!$U$2:$U$151,$A36),Scoring!$U$2:$U$151,0)))</f>
        <v>0</v>
      </c>
      <c r="N36" s="12" t="n">
        <f aca="false">IF(LARGE(Scoring!$U$2:$U$151,$A36)&lt;0,"",INDEX(PriceMetrics!$P$2:$P$151,MATCH(LARGE(Scoring!$U$2:$U$151,$A36),Scoring!$U$2:$U$151,0)))</f>
        <v>0</v>
      </c>
    </row>
    <row r="37" customFormat="false" ht="15" hidden="false" customHeight="false" outlineLevel="0" collapsed="false">
      <c r="A37" s="3" t="n">
        <v>36</v>
      </c>
      <c r="B37" s="3" t="str">
        <f aca="false">IF(LARGE(Scoring!$U$2:$U$151,$A37)&lt;0,"",INDEX(Scoring!$A$2:$A$151,MATCH(LARGE(Scoring!$U$2:$U$151,$A37),Scoring!$U$2:$U$151,0)))</f>
        <v>FORTIS</v>
      </c>
      <c r="C37" s="3" t="str">
        <f aca="false">IF(LARGE(Scoring!$U$2:$U$151,$A37)&lt;0,"",INDEX(Tickers!$B$2:$B$151,MATCH(LARGE(Scoring!$U$2:$U$151,$A37),Scoring!$U$2:$U$151,0)))</f>
        <v>Fortis Healthcare Ltd.</v>
      </c>
      <c r="D37" s="3" t="str">
        <f aca="false">IF(LARGE(Scoring!$U$2:$U$151,$A37)&lt;0,"",INDEX(Tickers!$D$2:$D$151,MATCH(LARGE(Scoring!$U$2:$U$151,$A37),Scoring!$U$2:$U$151,0)))</f>
        <v>MIDCAP50</v>
      </c>
      <c r="E37" s="3" t="str">
        <f aca="false">IF(LARGE(Scoring!$U$2:$U$151,$A37)&lt;0,"",INDEX(Tickers!$C$2:$C$151,MATCH(LARGE(Scoring!$U$2:$U$151,$A37),Scoring!$U$2:$U$151,0)))</f>
        <v>Healthcare</v>
      </c>
      <c r="F37" s="5" t="n">
        <f aca="false">IF(LARGE(Scoring!$U$2:$U$151,$A37)&lt;0,"",INDEX(Scoring!$M$2:$M$151,MATCH(LARGE(Scoring!$U$2:$U$151,$A37),Scoring!$U$2:$U$151,0)))</f>
        <v>50.7</v>
      </c>
      <c r="G37" s="3" t="str">
        <f aca="false">IF(LARGE(Scoring!$U$2:$U$151,$A37)&lt;0,"",INDEX(Scoring!$P$2:$P$151,MATCH(LARGE(Scoring!$U$2:$U$151,$A37),Scoring!$U$2:$U$151,0)))</f>
        <v>HOLD</v>
      </c>
      <c r="H37" s="3" t="str">
        <f aca="false">IF(LARGE(Scoring!$U$2:$U$151,$A37)&lt;0,"",INDEX(Scoring!$Q$2:$Q$151,MATCH(LARGE(Scoring!$U$2:$U$151,$A37),Scoring!$U$2:$U$151,0)))</f>
        <v>Low</v>
      </c>
      <c r="I37" s="12" t="n">
        <f aca="false">IF(LARGE(Scoring!$U$2:$U$151,$A37)&lt;0,"",INDEX(Scoring!$R$2:$R$151,MATCH(LARGE(Scoring!$U$2:$U$151,$A37),Scoring!$U$2:$U$151,0)))</f>
        <v>0</v>
      </c>
      <c r="J37" s="3" t="str">
        <f aca="false">IF(LARGE(Scoring!$U$2:$U$151,$A37)&lt;0,"",INDEX(Scoring!$S$2:$S$151,MATCH(LARGE(Scoring!$U$2:$U$151,$A37),Scoring!$U$2:$U$151,0)))</f>
        <v>Rich valuation</v>
      </c>
      <c r="K37" s="20" t="n">
        <f aca="false">IF(LARGE(Scoring!$U$2:$U$151,$A37)&lt;0,"",INDEX(PriceMetrics!$B$2:$B$151,MATCH(LARGE(Scoring!$U$2:$U$151,$A37),Scoring!$U$2:$U$151,0)))</f>
        <v>0</v>
      </c>
      <c r="L37" s="5" t="n">
        <f aca="false">IF(LARGE(Scoring!$U$2:$U$151,$A37)&lt;0,"",INDEX(Fundamentals!$C$2:$C$151,MATCH(LARGE(Scoring!$U$2:$U$151,$A37),Scoring!$U$2:$U$151,0)))</f>
        <v>0</v>
      </c>
      <c r="M37" s="12" t="n">
        <f aca="false">IF(LARGE(Scoring!$U$2:$U$151,$A37)&lt;0,"",INDEX(Fundamentals!$F$2:$F$151,MATCH(LARGE(Scoring!$U$2:$U$151,$A37),Scoring!$U$2:$U$151,0)))</f>
        <v>0</v>
      </c>
      <c r="N37" s="12" t="n">
        <f aca="false">IF(LARGE(Scoring!$U$2:$U$151,$A37)&lt;0,"",INDEX(PriceMetrics!$P$2:$P$151,MATCH(LARGE(Scoring!$U$2:$U$151,$A37),Scoring!$U$2:$U$151,0)))</f>
        <v>0</v>
      </c>
    </row>
    <row r="38" customFormat="false" ht="15" hidden="false" customHeight="false" outlineLevel="0" collapsed="false">
      <c r="A38" s="3" t="n">
        <v>37</v>
      </c>
      <c r="B38" s="3" t="str">
        <f aca="false">IF(LARGE(Scoring!$U$2:$U$151,$A38)&lt;0,"",INDEX(Scoring!$A$2:$A$151,MATCH(LARGE(Scoring!$U$2:$U$151,$A38),Scoring!$U$2:$U$151,0)))</f>
        <v>FEDERALBNK</v>
      </c>
      <c r="C38" s="3" t="str">
        <f aca="false">IF(LARGE(Scoring!$U$2:$U$151,$A38)&lt;0,"",INDEX(Tickers!$B$2:$B$151,MATCH(LARGE(Scoring!$U$2:$U$151,$A38),Scoring!$U$2:$U$151,0)))</f>
        <v>Federal Bank Ltd.</v>
      </c>
      <c r="D38" s="3" t="str">
        <f aca="false">IF(LARGE(Scoring!$U$2:$U$151,$A38)&lt;0,"",INDEX(Tickers!$D$2:$D$151,MATCH(LARGE(Scoring!$U$2:$U$151,$A38),Scoring!$U$2:$U$151,0)))</f>
        <v>MIDCAP50</v>
      </c>
      <c r="E38" s="3" t="str">
        <f aca="false">IF(LARGE(Scoring!$U$2:$U$151,$A38)&lt;0,"",INDEX(Tickers!$C$2:$C$151,MATCH(LARGE(Scoring!$U$2:$U$151,$A38),Scoring!$U$2:$U$151,0)))</f>
        <v>Financial Services</v>
      </c>
      <c r="F38" s="5" t="n">
        <f aca="false">IF(LARGE(Scoring!$U$2:$U$151,$A38)&lt;0,"",INDEX(Scoring!$M$2:$M$151,MATCH(LARGE(Scoring!$U$2:$U$151,$A38),Scoring!$U$2:$U$151,0)))</f>
        <v>50.7</v>
      </c>
      <c r="G38" s="3" t="str">
        <f aca="false">IF(LARGE(Scoring!$U$2:$U$151,$A38)&lt;0,"",INDEX(Scoring!$P$2:$P$151,MATCH(LARGE(Scoring!$U$2:$U$151,$A38),Scoring!$U$2:$U$151,0)))</f>
        <v>HOLD</v>
      </c>
      <c r="H38" s="3" t="str">
        <f aca="false">IF(LARGE(Scoring!$U$2:$U$151,$A38)&lt;0,"",INDEX(Scoring!$Q$2:$Q$151,MATCH(LARGE(Scoring!$U$2:$U$151,$A38),Scoring!$U$2:$U$151,0)))</f>
        <v>Low</v>
      </c>
      <c r="I38" s="12" t="n">
        <f aca="false">IF(LARGE(Scoring!$U$2:$U$151,$A38)&lt;0,"",INDEX(Scoring!$R$2:$R$151,MATCH(LARGE(Scoring!$U$2:$U$151,$A38),Scoring!$U$2:$U$151,0)))</f>
        <v>0</v>
      </c>
      <c r="J38" s="3" t="str">
        <f aca="false">IF(LARGE(Scoring!$U$2:$U$151,$A38)&lt;0,"",INDEX(Scoring!$S$2:$S$151,MATCH(LARGE(Scoring!$U$2:$U$151,$A38),Scoring!$U$2:$U$151,0)))</f>
        <v>Rich valuation</v>
      </c>
      <c r="K38" s="20" t="n">
        <f aca="false">IF(LARGE(Scoring!$U$2:$U$151,$A38)&lt;0,"",INDEX(PriceMetrics!$B$2:$B$151,MATCH(LARGE(Scoring!$U$2:$U$151,$A38),Scoring!$U$2:$U$151,0)))</f>
        <v>0</v>
      </c>
      <c r="L38" s="5" t="n">
        <f aca="false">IF(LARGE(Scoring!$U$2:$U$151,$A38)&lt;0,"",INDEX(Fundamentals!$C$2:$C$151,MATCH(LARGE(Scoring!$U$2:$U$151,$A38),Scoring!$U$2:$U$151,0)))</f>
        <v>0</v>
      </c>
      <c r="M38" s="12" t="n">
        <f aca="false">IF(LARGE(Scoring!$U$2:$U$151,$A38)&lt;0,"",INDEX(Fundamentals!$F$2:$F$151,MATCH(LARGE(Scoring!$U$2:$U$151,$A38),Scoring!$U$2:$U$151,0)))</f>
        <v>0</v>
      </c>
      <c r="N38" s="12" t="n">
        <f aca="false">IF(LARGE(Scoring!$U$2:$U$151,$A38)&lt;0,"",INDEX(PriceMetrics!$P$2:$P$151,MATCH(LARGE(Scoring!$U$2:$U$151,$A38),Scoring!$U$2:$U$151,0)))</f>
        <v>0</v>
      </c>
    </row>
    <row r="39" customFormat="false" ht="15" hidden="false" customHeight="false" outlineLevel="0" collapsed="false">
      <c r="A39" s="3" t="n">
        <v>38</v>
      </c>
      <c r="B39" s="3" t="str">
        <f aca="false">IF(LARGE(Scoring!$U$2:$U$151,$A39)&lt;0,"",INDEX(Scoring!$A$2:$A$151,MATCH(LARGE(Scoring!$U$2:$U$151,$A39),Scoring!$U$2:$U$151,0)))</f>
        <v>NYKAA</v>
      </c>
      <c r="C39" s="3" t="str">
        <f aca="false">IF(LARGE(Scoring!$U$2:$U$151,$A39)&lt;0,"",INDEX(Tickers!$B$2:$B$151,MATCH(LARGE(Scoring!$U$2:$U$151,$A39),Scoring!$U$2:$U$151,0)))</f>
        <v>FSN E-Commerce Ventures Ltd.</v>
      </c>
      <c r="D39" s="3" t="str">
        <f aca="false">IF(LARGE(Scoring!$U$2:$U$151,$A39)&lt;0,"",INDEX(Tickers!$D$2:$D$151,MATCH(LARGE(Scoring!$U$2:$U$151,$A39),Scoring!$U$2:$U$151,0)))</f>
        <v>MIDCAP50</v>
      </c>
      <c r="E39" s="3" t="str">
        <f aca="false">IF(LARGE(Scoring!$U$2:$U$151,$A39)&lt;0,"",INDEX(Tickers!$C$2:$C$151,MATCH(LARGE(Scoring!$U$2:$U$151,$A39),Scoring!$U$2:$U$151,0)))</f>
        <v>Consumer Services</v>
      </c>
      <c r="F39" s="5" t="n">
        <f aca="false">IF(LARGE(Scoring!$U$2:$U$151,$A39)&lt;0,"",INDEX(Scoring!$M$2:$M$151,MATCH(LARGE(Scoring!$U$2:$U$151,$A39),Scoring!$U$2:$U$151,0)))</f>
        <v>50.7</v>
      </c>
      <c r="G39" s="3" t="str">
        <f aca="false">IF(LARGE(Scoring!$U$2:$U$151,$A39)&lt;0,"",INDEX(Scoring!$P$2:$P$151,MATCH(LARGE(Scoring!$U$2:$U$151,$A39),Scoring!$U$2:$U$151,0)))</f>
        <v>HOLD</v>
      </c>
      <c r="H39" s="3" t="str">
        <f aca="false">IF(LARGE(Scoring!$U$2:$U$151,$A39)&lt;0,"",INDEX(Scoring!$Q$2:$Q$151,MATCH(LARGE(Scoring!$U$2:$U$151,$A39),Scoring!$U$2:$U$151,0)))</f>
        <v>Low</v>
      </c>
      <c r="I39" s="12" t="n">
        <f aca="false">IF(LARGE(Scoring!$U$2:$U$151,$A39)&lt;0,"",INDEX(Scoring!$R$2:$R$151,MATCH(LARGE(Scoring!$U$2:$U$151,$A39),Scoring!$U$2:$U$151,0)))</f>
        <v>0</v>
      </c>
      <c r="J39" s="3" t="str">
        <f aca="false">IF(LARGE(Scoring!$U$2:$U$151,$A39)&lt;0,"",INDEX(Scoring!$S$2:$S$151,MATCH(LARGE(Scoring!$U$2:$U$151,$A39),Scoring!$U$2:$U$151,0)))</f>
        <v>Rich valuation</v>
      </c>
      <c r="K39" s="20" t="n">
        <f aca="false">IF(LARGE(Scoring!$U$2:$U$151,$A39)&lt;0,"",INDEX(PriceMetrics!$B$2:$B$151,MATCH(LARGE(Scoring!$U$2:$U$151,$A39),Scoring!$U$2:$U$151,0)))</f>
        <v>0</v>
      </c>
      <c r="L39" s="5" t="n">
        <f aca="false">IF(LARGE(Scoring!$U$2:$U$151,$A39)&lt;0,"",INDEX(Fundamentals!$C$2:$C$151,MATCH(LARGE(Scoring!$U$2:$U$151,$A39),Scoring!$U$2:$U$151,0)))</f>
        <v>0</v>
      </c>
      <c r="M39" s="12" t="n">
        <f aca="false">IF(LARGE(Scoring!$U$2:$U$151,$A39)&lt;0,"",INDEX(Fundamentals!$F$2:$F$151,MATCH(LARGE(Scoring!$U$2:$U$151,$A39),Scoring!$U$2:$U$151,0)))</f>
        <v>0</v>
      </c>
      <c r="N39" s="12" t="n">
        <f aca="false">IF(LARGE(Scoring!$U$2:$U$151,$A39)&lt;0,"",INDEX(PriceMetrics!$P$2:$P$151,MATCH(LARGE(Scoring!$U$2:$U$151,$A39),Scoring!$U$2:$U$151,0)))</f>
        <v>0</v>
      </c>
    </row>
    <row r="40" customFormat="false" ht="15" hidden="false" customHeight="false" outlineLevel="0" collapsed="false">
      <c r="A40" s="3" t="n">
        <v>39</v>
      </c>
      <c r="B40" s="3" t="str">
        <f aca="false">IF(LARGE(Scoring!$U$2:$U$151,$A40)&lt;0,"",INDEX(Scoring!$A$2:$A$151,MATCH(LARGE(Scoring!$U$2:$U$151,$A40),Scoring!$U$2:$U$151,0)))</f>
        <v>DIXON</v>
      </c>
      <c r="C40" s="3" t="str">
        <f aca="false">IF(LARGE(Scoring!$U$2:$U$151,$A40)&lt;0,"",INDEX(Tickers!$B$2:$B$151,MATCH(LARGE(Scoring!$U$2:$U$151,$A40),Scoring!$U$2:$U$151,0)))</f>
        <v>Dixon Technologies (India) Ltd.</v>
      </c>
      <c r="D40" s="3" t="str">
        <f aca="false">IF(LARGE(Scoring!$U$2:$U$151,$A40)&lt;0,"",INDEX(Tickers!$D$2:$D$151,MATCH(LARGE(Scoring!$U$2:$U$151,$A40),Scoring!$U$2:$U$151,0)))</f>
        <v>MIDCAP50</v>
      </c>
      <c r="E40" s="3" t="str">
        <f aca="false">IF(LARGE(Scoring!$U$2:$U$151,$A40)&lt;0,"",INDEX(Tickers!$C$2:$C$151,MATCH(LARGE(Scoring!$U$2:$U$151,$A40),Scoring!$U$2:$U$151,0)))</f>
        <v>Consumer Durables</v>
      </c>
      <c r="F40" s="5" t="n">
        <f aca="false">IF(LARGE(Scoring!$U$2:$U$151,$A40)&lt;0,"",INDEX(Scoring!$M$2:$M$151,MATCH(LARGE(Scoring!$U$2:$U$151,$A40),Scoring!$U$2:$U$151,0)))</f>
        <v>50.7</v>
      </c>
      <c r="G40" s="3" t="str">
        <f aca="false">IF(LARGE(Scoring!$U$2:$U$151,$A40)&lt;0,"",INDEX(Scoring!$P$2:$P$151,MATCH(LARGE(Scoring!$U$2:$U$151,$A40),Scoring!$U$2:$U$151,0)))</f>
        <v>HOLD</v>
      </c>
      <c r="H40" s="3" t="str">
        <f aca="false">IF(LARGE(Scoring!$U$2:$U$151,$A40)&lt;0,"",INDEX(Scoring!$Q$2:$Q$151,MATCH(LARGE(Scoring!$U$2:$U$151,$A40),Scoring!$U$2:$U$151,0)))</f>
        <v>Low</v>
      </c>
      <c r="I40" s="12" t="n">
        <f aca="false">IF(LARGE(Scoring!$U$2:$U$151,$A40)&lt;0,"",INDEX(Scoring!$R$2:$R$151,MATCH(LARGE(Scoring!$U$2:$U$151,$A40),Scoring!$U$2:$U$151,0)))</f>
        <v>0</v>
      </c>
      <c r="J40" s="3" t="str">
        <f aca="false">IF(LARGE(Scoring!$U$2:$U$151,$A40)&lt;0,"",INDEX(Scoring!$S$2:$S$151,MATCH(LARGE(Scoring!$U$2:$U$151,$A40),Scoring!$U$2:$U$151,0)))</f>
        <v>Rich valuation</v>
      </c>
      <c r="K40" s="20" t="n">
        <f aca="false">IF(LARGE(Scoring!$U$2:$U$151,$A40)&lt;0,"",INDEX(PriceMetrics!$B$2:$B$151,MATCH(LARGE(Scoring!$U$2:$U$151,$A40),Scoring!$U$2:$U$151,0)))</f>
        <v>0</v>
      </c>
      <c r="L40" s="5" t="n">
        <f aca="false">IF(LARGE(Scoring!$U$2:$U$151,$A40)&lt;0,"",INDEX(Fundamentals!$C$2:$C$151,MATCH(LARGE(Scoring!$U$2:$U$151,$A40),Scoring!$U$2:$U$151,0)))</f>
        <v>0</v>
      </c>
      <c r="M40" s="12" t="n">
        <f aca="false">IF(LARGE(Scoring!$U$2:$U$151,$A40)&lt;0,"",INDEX(Fundamentals!$F$2:$F$151,MATCH(LARGE(Scoring!$U$2:$U$151,$A40),Scoring!$U$2:$U$151,0)))</f>
        <v>0</v>
      </c>
      <c r="N40" s="12" t="n">
        <f aca="false">IF(LARGE(Scoring!$U$2:$U$151,$A40)&lt;0,"",INDEX(PriceMetrics!$P$2:$P$151,MATCH(LARGE(Scoring!$U$2:$U$151,$A40),Scoring!$U$2:$U$151,0)))</f>
        <v>0</v>
      </c>
    </row>
    <row r="41" customFormat="false" ht="15" hidden="false" customHeight="false" outlineLevel="0" collapsed="false">
      <c r="A41" s="3" t="n">
        <v>40</v>
      </c>
      <c r="B41" s="3" t="str">
        <f aca="false">IF(LARGE(Scoring!$U$2:$U$151,$A41)&lt;0,"",INDEX(Scoring!$A$2:$A$151,MATCH(LARGE(Scoring!$U$2:$U$151,$A41),Scoring!$U$2:$U$151,0)))</f>
        <v>DABUR</v>
      </c>
      <c r="C41" s="3" t="str">
        <f aca="false">IF(LARGE(Scoring!$U$2:$U$151,$A41)&lt;0,"",INDEX(Tickers!$B$2:$B$151,MATCH(LARGE(Scoring!$U$2:$U$151,$A41),Scoring!$U$2:$U$151,0)))</f>
        <v>Dabur India Ltd.</v>
      </c>
      <c r="D41" s="3" t="str">
        <f aca="false">IF(LARGE(Scoring!$U$2:$U$151,$A41)&lt;0,"",INDEX(Tickers!$D$2:$D$151,MATCH(LARGE(Scoring!$U$2:$U$151,$A41),Scoring!$U$2:$U$151,0)))</f>
        <v>MIDCAP50</v>
      </c>
      <c r="E41" s="3" t="str">
        <f aca="false">IF(LARGE(Scoring!$U$2:$U$151,$A41)&lt;0,"",INDEX(Tickers!$C$2:$C$151,MATCH(LARGE(Scoring!$U$2:$U$151,$A41),Scoring!$U$2:$U$151,0)))</f>
        <v>Fast Moving Consumer Goods</v>
      </c>
      <c r="F41" s="5" t="n">
        <f aca="false">IF(LARGE(Scoring!$U$2:$U$151,$A41)&lt;0,"",INDEX(Scoring!$M$2:$M$151,MATCH(LARGE(Scoring!$U$2:$U$151,$A41),Scoring!$U$2:$U$151,0)))</f>
        <v>50.7</v>
      </c>
      <c r="G41" s="3" t="str">
        <f aca="false">IF(LARGE(Scoring!$U$2:$U$151,$A41)&lt;0,"",INDEX(Scoring!$P$2:$P$151,MATCH(LARGE(Scoring!$U$2:$U$151,$A41),Scoring!$U$2:$U$151,0)))</f>
        <v>HOLD</v>
      </c>
      <c r="H41" s="3" t="str">
        <f aca="false">IF(LARGE(Scoring!$U$2:$U$151,$A41)&lt;0,"",INDEX(Scoring!$Q$2:$Q$151,MATCH(LARGE(Scoring!$U$2:$U$151,$A41),Scoring!$U$2:$U$151,0)))</f>
        <v>Low</v>
      </c>
      <c r="I41" s="12" t="n">
        <f aca="false">IF(LARGE(Scoring!$U$2:$U$151,$A41)&lt;0,"",INDEX(Scoring!$R$2:$R$151,MATCH(LARGE(Scoring!$U$2:$U$151,$A41),Scoring!$U$2:$U$151,0)))</f>
        <v>0</v>
      </c>
      <c r="J41" s="3" t="str">
        <f aca="false">IF(LARGE(Scoring!$U$2:$U$151,$A41)&lt;0,"",INDEX(Scoring!$S$2:$S$151,MATCH(LARGE(Scoring!$U$2:$U$151,$A41),Scoring!$U$2:$U$151,0)))</f>
        <v>Rich valuation</v>
      </c>
      <c r="K41" s="20" t="n">
        <f aca="false">IF(LARGE(Scoring!$U$2:$U$151,$A41)&lt;0,"",INDEX(PriceMetrics!$B$2:$B$151,MATCH(LARGE(Scoring!$U$2:$U$151,$A41),Scoring!$U$2:$U$151,0)))</f>
        <v>0</v>
      </c>
      <c r="L41" s="5" t="n">
        <f aca="false">IF(LARGE(Scoring!$U$2:$U$151,$A41)&lt;0,"",INDEX(Fundamentals!$C$2:$C$151,MATCH(LARGE(Scoring!$U$2:$U$151,$A41),Scoring!$U$2:$U$151,0)))</f>
        <v>0</v>
      </c>
      <c r="M41" s="12" t="n">
        <f aca="false">IF(LARGE(Scoring!$U$2:$U$151,$A41)&lt;0,"",INDEX(Fundamentals!$F$2:$F$151,MATCH(LARGE(Scoring!$U$2:$U$151,$A41),Scoring!$U$2:$U$151,0)))</f>
        <v>0</v>
      </c>
      <c r="N41" s="12" t="n">
        <f aca="false">IF(LARGE(Scoring!$U$2:$U$151,$A41)&lt;0,"",INDEX(PriceMetrics!$P$2:$P$151,MATCH(LARGE(Scoring!$U$2:$U$151,$A41),Scoring!$U$2:$U$151,0)))</f>
        <v>0</v>
      </c>
    </row>
    <row r="42" customFormat="false" ht="15" hidden="false" customHeight="false" outlineLevel="0" collapsed="false">
      <c r="A42" s="3" t="n">
        <v>41</v>
      </c>
      <c r="B42" s="3" t="str">
        <f aca="false">IF(LARGE(Scoring!$U$2:$U$151,$A42)&lt;0,"",INDEX(Scoring!$A$2:$A$151,MATCH(LARGE(Scoring!$U$2:$U$151,$A42),Scoring!$U$2:$U$151,0)))</f>
        <v>COLPAL</v>
      </c>
      <c r="C42" s="3" t="str">
        <f aca="false">IF(LARGE(Scoring!$U$2:$U$151,$A42)&lt;0,"",INDEX(Tickers!$B$2:$B$151,MATCH(LARGE(Scoring!$U$2:$U$151,$A42),Scoring!$U$2:$U$151,0)))</f>
        <v>Colgate Palmolive (India) Ltd.</v>
      </c>
      <c r="D42" s="3" t="str">
        <f aca="false">IF(LARGE(Scoring!$U$2:$U$151,$A42)&lt;0,"",INDEX(Tickers!$D$2:$D$151,MATCH(LARGE(Scoring!$U$2:$U$151,$A42),Scoring!$U$2:$U$151,0)))</f>
        <v>MIDCAP50</v>
      </c>
      <c r="E42" s="3" t="str">
        <f aca="false">IF(LARGE(Scoring!$U$2:$U$151,$A42)&lt;0,"",INDEX(Tickers!$C$2:$C$151,MATCH(LARGE(Scoring!$U$2:$U$151,$A42),Scoring!$U$2:$U$151,0)))</f>
        <v>Fast Moving Consumer Goods</v>
      </c>
      <c r="F42" s="5" t="n">
        <f aca="false">IF(LARGE(Scoring!$U$2:$U$151,$A42)&lt;0,"",INDEX(Scoring!$M$2:$M$151,MATCH(LARGE(Scoring!$U$2:$U$151,$A42),Scoring!$U$2:$U$151,0)))</f>
        <v>50.7</v>
      </c>
      <c r="G42" s="3" t="str">
        <f aca="false">IF(LARGE(Scoring!$U$2:$U$151,$A42)&lt;0,"",INDEX(Scoring!$P$2:$P$151,MATCH(LARGE(Scoring!$U$2:$U$151,$A42),Scoring!$U$2:$U$151,0)))</f>
        <v>HOLD</v>
      </c>
      <c r="H42" s="3" t="str">
        <f aca="false">IF(LARGE(Scoring!$U$2:$U$151,$A42)&lt;0,"",INDEX(Scoring!$Q$2:$Q$151,MATCH(LARGE(Scoring!$U$2:$U$151,$A42),Scoring!$U$2:$U$151,0)))</f>
        <v>Low</v>
      </c>
      <c r="I42" s="12" t="n">
        <f aca="false">IF(LARGE(Scoring!$U$2:$U$151,$A42)&lt;0,"",INDEX(Scoring!$R$2:$R$151,MATCH(LARGE(Scoring!$U$2:$U$151,$A42),Scoring!$U$2:$U$151,0)))</f>
        <v>0</v>
      </c>
      <c r="J42" s="3" t="str">
        <f aca="false">IF(LARGE(Scoring!$U$2:$U$151,$A42)&lt;0,"",INDEX(Scoring!$S$2:$S$151,MATCH(LARGE(Scoring!$U$2:$U$151,$A42),Scoring!$U$2:$U$151,0)))</f>
        <v>Rich valuation</v>
      </c>
      <c r="K42" s="20" t="n">
        <f aca="false">IF(LARGE(Scoring!$U$2:$U$151,$A42)&lt;0,"",INDEX(PriceMetrics!$B$2:$B$151,MATCH(LARGE(Scoring!$U$2:$U$151,$A42),Scoring!$U$2:$U$151,0)))</f>
        <v>0</v>
      </c>
      <c r="L42" s="5" t="n">
        <f aca="false">IF(LARGE(Scoring!$U$2:$U$151,$A42)&lt;0,"",INDEX(Fundamentals!$C$2:$C$151,MATCH(LARGE(Scoring!$U$2:$U$151,$A42),Scoring!$U$2:$U$151,0)))</f>
        <v>0</v>
      </c>
      <c r="M42" s="12" t="n">
        <f aca="false">IF(LARGE(Scoring!$U$2:$U$151,$A42)&lt;0,"",INDEX(Fundamentals!$F$2:$F$151,MATCH(LARGE(Scoring!$U$2:$U$151,$A42),Scoring!$U$2:$U$151,0)))</f>
        <v>0</v>
      </c>
      <c r="N42" s="12" t="n">
        <f aca="false">IF(LARGE(Scoring!$U$2:$U$151,$A42)&lt;0,"",INDEX(PriceMetrics!$P$2:$P$151,MATCH(LARGE(Scoring!$U$2:$U$151,$A42),Scoring!$U$2:$U$151,0)))</f>
        <v>0</v>
      </c>
    </row>
    <row r="43" customFormat="false" ht="15" hidden="false" customHeight="false" outlineLevel="0" collapsed="false">
      <c r="A43" s="3" t="n">
        <v>42</v>
      </c>
      <c r="B43" s="3" t="str">
        <f aca="false">IF(LARGE(Scoring!$U$2:$U$151,$A43)&lt;0,"",INDEX(Scoring!$A$2:$A$151,MATCH(LARGE(Scoring!$U$2:$U$151,$A43),Scoring!$U$2:$U$151,0)))</f>
        <v>COFORGE</v>
      </c>
      <c r="C43" s="3" t="str">
        <f aca="false">IF(LARGE(Scoring!$U$2:$U$151,$A43)&lt;0,"",INDEX(Tickers!$B$2:$B$151,MATCH(LARGE(Scoring!$U$2:$U$151,$A43),Scoring!$U$2:$U$151,0)))</f>
        <v>Coforge Ltd.</v>
      </c>
      <c r="D43" s="3" t="str">
        <f aca="false">IF(LARGE(Scoring!$U$2:$U$151,$A43)&lt;0,"",INDEX(Tickers!$D$2:$D$151,MATCH(LARGE(Scoring!$U$2:$U$151,$A43),Scoring!$U$2:$U$151,0)))</f>
        <v>MIDCAP50</v>
      </c>
      <c r="E43" s="3" t="str">
        <f aca="false">IF(LARGE(Scoring!$U$2:$U$151,$A43)&lt;0,"",INDEX(Tickers!$C$2:$C$151,MATCH(LARGE(Scoring!$U$2:$U$151,$A43),Scoring!$U$2:$U$151,0)))</f>
        <v>Information Technology</v>
      </c>
      <c r="F43" s="5" t="n">
        <f aca="false">IF(LARGE(Scoring!$U$2:$U$151,$A43)&lt;0,"",INDEX(Scoring!$M$2:$M$151,MATCH(LARGE(Scoring!$U$2:$U$151,$A43),Scoring!$U$2:$U$151,0)))</f>
        <v>50.7</v>
      </c>
      <c r="G43" s="3" t="str">
        <f aca="false">IF(LARGE(Scoring!$U$2:$U$151,$A43)&lt;0,"",INDEX(Scoring!$P$2:$P$151,MATCH(LARGE(Scoring!$U$2:$U$151,$A43),Scoring!$U$2:$U$151,0)))</f>
        <v>HOLD</v>
      </c>
      <c r="H43" s="3" t="str">
        <f aca="false">IF(LARGE(Scoring!$U$2:$U$151,$A43)&lt;0,"",INDEX(Scoring!$Q$2:$Q$151,MATCH(LARGE(Scoring!$U$2:$U$151,$A43),Scoring!$U$2:$U$151,0)))</f>
        <v>Low</v>
      </c>
      <c r="I43" s="12" t="n">
        <f aca="false">IF(LARGE(Scoring!$U$2:$U$151,$A43)&lt;0,"",INDEX(Scoring!$R$2:$R$151,MATCH(LARGE(Scoring!$U$2:$U$151,$A43),Scoring!$U$2:$U$151,0)))</f>
        <v>0</v>
      </c>
      <c r="J43" s="3" t="str">
        <f aca="false">IF(LARGE(Scoring!$U$2:$U$151,$A43)&lt;0,"",INDEX(Scoring!$S$2:$S$151,MATCH(LARGE(Scoring!$U$2:$U$151,$A43),Scoring!$U$2:$U$151,0)))</f>
        <v>Rich valuation</v>
      </c>
      <c r="K43" s="20" t="n">
        <f aca="false">IF(LARGE(Scoring!$U$2:$U$151,$A43)&lt;0,"",INDEX(PriceMetrics!$B$2:$B$151,MATCH(LARGE(Scoring!$U$2:$U$151,$A43),Scoring!$U$2:$U$151,0)))</f>
        <v>0</v>
      </c>
      <c r="L43" s="5" t="n">
        <f aca="false">IF(LARGE(Scoring!$U$2:$U$151,$A43)&lt;0,"",INDEX(Fundamentals!$C$2:$C$151,MATCH(LARGE(Scoring!$U$2:$U$151,$A43),Scoring!$U$2:$U$151,0)))</f>
        <v>0</v>
      </c>
      <c r="M43" s="12" t="n">
        <f aca="false">IF(LARGE(Scoring!$U$2:$U$151,$A43)&lt;0,"",INDEX(Fundamentals!$F$2:$F$151,MATCH(LARGE(Scoring!$U$2:$U$151,$A43),Scoring!$U$2:$U$151,0)))</f>
        <v>0</v>
      </c>
      <c r="N43" s="12" t="n">
        <f aca="false">IF(LARGE(Scoring!$U$2:$U$151,$A43)&lt;0,"",INDEX(PriceMetrics!$P$2:$P$151,MATCH(LARGE(Scoring!$U$2:$U$151,$A43),Scoring!$U$2:$U$151,0)))</f>
        <v>0</v>
      </c>
    </row>
    <row r="44" customFormat="false" ht="15" hidden="false" customHeight="false" outlineLevel="0" collapsed="false">
      <c r="A44" s="3" t="n">
        <v>43</v>
      </c>
      <c r="B44" s="3" t="str">
        <f aca="false">IF(LARGE(Scoring!$U$2:$U$151,$A44)&lt;0,"",INDEX(Scoring!$A$2:$A$151,MATCH(LARGE(Scoring!$U$2:$U$151,$A44),Scoring!$U$2:$U$151,0)))</f>
        <v>BHEL</v>
      </c>
      <c r="C44" s="3" t="str">
        <f aca="false">IF(LARGE(Scoring!$U$2:$U$151,$A44)&lt;0,"",INDEX(Tickers!$B$2:$B$151,MATCH(LARGE(Scoring!$U$2:$U$151,$A44),Scoring!$U$2:$U$151,0)))</f>
        <v>Bharat Heavy Electricals Ltd.</v>
      </c>
      <c r="D44" s="3" t="str">
        <f aca="false">IF(LARGE(Scoring!$U$2:$U$151,$A44)&lt;0,"",INDEX(Tickers!$D$2:$D$151,MATCH(LARGE(Scoring!$U$2:$U$151,$A44),Scoring!$U$2:$U$151,0)))</f>
        <v>MIDCAP50</v>
      </c>
      <c r="E44" s="3" t="str">
        <f aca="false">IF(LARGE(Scoring!$U$2:$U$151,$A44)&lt;0,"",INDEX(Tickers!$C$2:$C$151,MATCH(LARGE(Scoring!$U$2:$U$151,$A44),Scoring!$U$2:$U$151,0)))</f>
        <v>Capital Goods</v>
      </c>
      <c r="F44" s="5" t="n">
        <f aca="false">IF(LARGE(Scoring!$U$2:$U$151,$A44)&lt;0,"",INDEX(Scoring!$M$2:$M$151,MATCH(LARGE(Scoring!$U$2:$U$151,$A44),Scoring!$U$2:$U$151,0)))</f>
        <v>50.7</v>
      </c>
      <c r="G44" s="3" t="str">
        <f aca="false">IF(LARGE(Scoring!$U$2:$U$151,$A44)&lt;0,"",INDEX(Scoring!$P$2:$P$151,MATCH(LARGE(Scoring!$U$2:$U$151,$A44),Scoring!$U$2:$U$151,0)))</f>
        <v>HOLD</v>
      </c>
      <c r="H44" s="3" t="str">
        <f aca="false">IF(LARGE(Scoring!$U$2:$U$151,$A44)&lt;0,"",INDEX(Scoring!$Q$2:$Q$151,MATCH(LARGE(Scoring!$U$2:$U$151,$A44),Scoring!$U$2:$U$151,0)))</f>
        <v>Low</v>
      </c>
      <c r="I44" s="12" t="n">
        <f aca="false">IF(LARGE(Scoring!$U$2:$U$151,$A44)&lt;0,"",INDEX(Scoring!$R$2:$R$151,MATCH(LARGE(Scoring!$U$2:$U$151,$A44),Scoring!$U$2:$U$151,0)))</f>
        <v>0</v>
      </c>
      <c r="J44" s="3" t="str">
        <f aca="false">IF(LARGE(Scoring!$U$2:$U$151,$A44)&lt;0,"",INDEX(Scoring!$S$2:$S$151,MATCH(LARGE(Scoring!$U$2:$U$151,$A44),Scoring!$U$2:$U$151,0)))</f>
        <v>Rich valuation</v>
      </c>
      <c r="K44" s="20" t="n">
        <f aca="false">IF(LARGE(Scoring!$U$2:$U$151,$A44)&lt;0,"",INDEX(PriceMetrics!$B$2:$B$151,MATCH(LARGE(Scoring!$U$2:$U$151,$A44),Scoring!$U$2:$U$151,0)))</f>
        <v>0</v>
      </c>
      <c r="L44" s="5" t="n">
        <f aca="false">IF(LARGE(Scoring!$U$2:$U$151,$A44)&lt;0,"",INDEX(Fundamentals!$C$2:$C$151,MATCH(LARGE(Scoring!$U$2:$U$151,$A44),Scoring!$U$2:$U$151,0)))</f>
        <v>0</v>
      </c>
      <c r="M44" s="12" t="n">
        <f aca="false">IF(LARGE(Scoring!$U$2:$U$151,$A44)&lt;0,"",INDEX(Fundamentals!$F$2:$F$151,MATCH(LARGE(Scoring!$U$2:$U$151,$A44),Scoring!$U$2:$U$151,0)))</f>
        <v>0</v>
      </c>
      <c r="N44" s="12" t="n">
        <f aca="false">IF(LARGE(Scoring!$U$2:$U$151,$A44)&lt;0,"",INDEX(PriceMetrics!$P$2:$P$151,MATCH(LARGE(Scoring!$U$2:$U$151,$A44),Scoring!$U$2:$U$151,0)))</f>
        <v>0</v>
      </c>
    </row>
    <row r="45" customFormat="false" ht="15" hidden="false" customHeight="false" outlineLevel="0" collapsed="false">
      <c r="A45" s="3" t="n">
        <v>44</v>
      </c>
      <c r="B45" s="3" t="str">
        <f aca="false">IF(LARGE(Scoring!$U$2:$U$151,$A45)&lt;0,"",INDEX(Scoring!$A$2:$A$151,MATCH(LARGE(Scoring!$U$2:$U$151,$A45),Scoring!$U$2:$U$151,0)))</f>
        <v>BHARATFORG</v>
      </c>
      <c r="C45" s="3" t="str">
        <f aca="false">IF(LARGE(Scoring!$U$2:$U$151,$A45)&lt;0,"",INDEX(Tickers!$B$2:$B$151,MATCH(LARGE(Scoring!$U$2:$U$151,$A45),Scoring!$U$2:$U$151,0)))</f>
        <v>Bharat Forge Ltd.</v>
      </c>
      <c r="D45" s="3" t="str">
        <f aca="false">IF(LARGE(Scoring!$U$2:$U$151,$A45)&lt;0,"",INDEX(Tickers!$D$2:$D$151,MATCH(LARGE(Scoring!$U$2:$U$151,$A45),Scoring!$U$2:$U$151,0)))</f>
        <v>MIDCAP50</v>
      </c>
      <c r="E45" s="3" t="str">
        <f aca="false">IF(LARGE(Scoring!$U$2:$U$151,$A45)&lt;0,"",INDEX(Tickers!$C$2:$C$151,MATCH(LARGE(Scoring!$U$2:$U$151,$A45),Scoring!$U$2:$U$151,0)))</f>
        <v>Automobile and Auto Components</v>
      </c>
      <c r="F45" s="5" t="n">
        <f aca="false">IF(LARGE(Scoring!$U$2:$U$151,$A45)&lt;0,"",INDEX(Scoring!$M$2:$M$151,MATCH(LARGE(Scoring!$U$2:$U$151,$A45),Scoring!$U$2:$U$151,0)))</f>
        <v>50.7</v>
      </c>
      <c r="G45" s="3" t="str">
        <f aca="false">IF(LARGE(Scoring!$U$2:$U$151,$A45)&lt;0,"",INDEX(Scoring!$P$2:$P$151,MATCH(LARGE(Scoring!$U$2:$U$151,$A45),Scoring!$U$2:$U$151,0)))</f>
        <v>HOLD</v>
      </c>
      <c r="H45" s="3" t="str">
        <f aca="false">IF(LARGE(Scoring!$U$2:$U$151,$A45)&lt;0,"",INDEX(Scoring!$Q$2:$Q$151,MATCH(LARGE(Scoring!$U$2:$U$151,$A45),Scoring!$U$2:$U$151,0)))</f>
        <v>Low</v>
      </c>
      <c r="I45" s="12" t="n">
        <f aca="false">IF(LARGE(Scoring!$U$2:$U$151,$A45)&lt;0,"",INDEX(Scoring!$R$2:$R$151,MATCH(LARGE(Scoring!$U$2:$U$151,$A45),Scoring!$U$2:$U$151,0)))</f>
        <v>0</v>
      </c>
      <c r="J45" s="3" t="str">
        <f aca="false">IF(LARGE(Scoring!$U$2:$U$151,$A45)&lt;0,"",INDEX(Scoring!$S$2:$S$151,MATCH(LARGE(Scoring!$U$2:$U$151,$A45),Scoring!$U$2:$U$151,0)))</f>
        <v>Rich valuation</v>
      </c>
      <c r="K45" s="20" t="n">
        <f aca="false">IF(LARGE(Scoring!$U$2:$U$151,$A45)&lt;0,"",INDEX(PriceMetrics!$B$2:$B$151,MATCH(LARGE(Scoring!$U$2:$U$151,$A45),Scoring!$U$2:$U$151,0)))</f>
        <v>0</v>
      </c>
      <c r="L45" s="5" t="n">
        <f aca="false">IF(LARGE(Scoring!$U$2:$U$151,$A45)&lt;0,"",INDEX(Fundamentals!$C$2:$C$151,MATCH(LARGE(Scoring!$U$2:$U$151,$A45),Scoring!$U$2:$U$151,0)))</f>
        <v>0</v>
      </c>
      <c r="M45" s="12" t="n">
        <f aca="false">IF(LARGE(Scoring!$U$2:$U$151,$A45)&lt;0,"",INDEX(Fundamentals!$F$2:$F$151,MATCH(LARGE(Scoring!$U$2:$U$151,$A45),Scoring!$U$2:$U$151,0)))</f>
        <v>0</v>
      </c>
      <c r="N45" s="12" t="n">
        <f aca="false">IF(LARGE(Scoring!$U$2:$U$151,$A45)&lt;0,"",INDEX(PriceMetrics!$P$2:$P$151,MATCH(LARGE(Scoring!$U$2:$U$151,$A45),Scoring!$U$2:$U$151,0)))</f>
        <v>0</v>
      </c>
    </row>
    <row r="46" customFormat="false" ht="15" hidden="false" customHeight="false" outlineLevel="0" collapsed="false">
      <c r="A46" s="3" t="n">
        <v>45</v>
      </c>
      <c r="B46" s="3" t="str">
        <f aca="false">IF(LARGE(Scoring!$U$2:$U$151,$A46)&lt;0,"",INDEX(Scoring!$A$2:$A$151,MATCH(LARGE(Scoring!$U$2:$U$151,$A46),Scoring!$U$2:$U$151,0)))</f>
        <v>BSE</v>
      </c>
      <c r="C46" s="3" t="str">
        <f aca="false">IF(LARGE(Scoring!$U$2:$U$151,$A46)&lt;0,"",INDEX(Tickers!$B$2:$B$151,MATCH(LARGE(Scoring!$U$2:$U$151,$A46),Scoring!$U$2:$U$151,0)))</f>
        <v>BSE Ltd.</v>
      </c>
      <c r="D46" s="3" t="str">
        <f aca="false">IF(LARGE(Scoring!$U$2:$U$151,$A46)&lt;0,"",INDEX(Tickers!$D$2:$D$151,MATCH(LARGE(Scoring!$U$2:$U$151,$A46),Scoring!$U$2:$U$151,0)))</f>
        <v>MIDCAP50</v>
      </c>
      <c r="E46" s="3" t="str">
        <f aca="false">IF(LARGE(Scoring!$U$2:$U$151,$A46)&lt;0,"",INDEX(Tickers!$C$2:$C$151,MATCH(LARGE(Scoring!$U$2:$U$151,$A46),Scoring!$U$2:$U$151,0)))</f>
        <v>Financial Services</v>
      </c>
      <c r="F46" s="5" t="n">
        <f aca="false">IF(LARGE(Scoring!$U$2:$U$151,$A46)&lt;0,"",INDEX(Scoring!$M$2:$M$151,MATCH(LARGE(Scoring!$U$2:$U$151,$A46),Scoring!$U$2:$U$151,0)))</f>
        <v>50.7</v>
      </c>
      <c r="G46" s="3" t="str">
        <f aca="false">IF(LARGE(Scoring!$U$2:$U$151,$A46)&lt;0,"",INDEX(Scoring!$P$2:$P$151,MATCH(LARGE(Scoring!$U$2:$U$151,$A46),Scoring!$U$2:$U$151,0)))</f>
        <v>HOLD</v>
      </c>
      <c r="H46" s="3" t="str">
        <f aca="false">IF(LARGE(Scoring!$U$2:$U$151,$A46)&lt;0,"",INDEX(Scoring!$Q$2:$Q$151,MATCH(LARGE(Scoring!$U$2:$U$151,$A46),Scoring!$U$2:$U$151,0)))</f>
        <v>Low</v>
      </c>
      <c r="I46" s="12" t="n">
        <f aca="false">IF(LARGE(Scoring!$U$2:$U$151,$A46)&lt;0,"",INDEX(Scoring!$R$2:$R$151,MATCH(LARGE(Scoring!$U$2:$U$151,$A46),Scoring!$U$2:$U$151,0)))</f>
        <v>0</v>
      </c>
      <c r="J46" s="3" t="str">
        <f aca="false">IF(LARGE(Scoring!$U$2:$U$151,$A46)&lt;0,"",INDEX(Scoring!$S$2:$S$151,MATCH(LARGE(Scoring!$U$2:$U$151,$A46),Scoring!$U$2:$U$151,0)))</f>
        <v>Rich valuation</v>
      </c>
      <c r="K46" s="20" t="n">
        <f aca="false">IF(LARGE(Scoring!$U$2:$U$151,$A46)&lt;0,"",INDEX(PriceMetrics!$B$2:$B$151,MATCH(LARGE(Scoring!$U$2:$U$151,$A46),Scoring!$U$2:$U$151,0)))</f>
        <v>0</v>
      </c>
      <c r="L46" s="5" t="n">
        <f aca="false">IF(LARGE(Scoring!$U$2:$U$151,$A46)&lt;0,"",INDEX(Fundamentals!$C$2:$C$151,MATCH(LARGE(Scoring!$U$2:$U$151,$A46),Scoring!$U$2:$U$151,0)))</f>
        <v>0</v>
      </c>
      <c r="M46" s="12" t="n">
        <f aca="false">IF(LARGE(Scoring!$U$2:$U$151,$A46)&lt;0,"",INDEX(Fundamentals!$F$2:$F$151,MATCH(LARGE(Scoring!$U$2:$U$151,$A46),Scoring!$U$2:$U$151,0)))</f>
        <v>0</v>
      </c>
      <c r="N46" s="12" t="n">
        <f aca="false">IF(LARGE(Scoring!$U$2:$U$151,$A46)&lt;0,"",INDEX(PriceMetrics!$P$2:$P$151,MATCH(LARGE(Scoring!$U$2:$U$151,$A46),Scoring!$U$2:$U$151,0)))</f>
        <v>0</v>
      </c>
    </row>
    <row r="47" customFormat="false" ht="15" hidden="false" customHeight="false" outlineLevel="0" collapsed="false">
      <c r="A47" s="3" t="n">
        <v>46</v>
      </c>
      <c r="B47" s="3" t="str">
        <f aca="false">IF(LARGE(Scoring!$U$2:$U$151,$A47)&lt;0,"",INDEX(Scoring!$A$2:$A$151,MATCH(LARGE(Scoring!$U$2:$U$151,$A47),Scoring!$U$2:$U$151,0)))</f>
        <v>AUROPHARMA</v>
      </c>
      <c r="C47" s="3" t="str">
        <f aca="false">IF(LARGE(Scoring!$U$2:$U$151,$A47)&lt;0,"",INDEX(Tickers!$B$2:$B$151,MATCH(LARGE(Scoring!$U$2:$U$151,$A47),Scoring!$U$2:$U$151,0)))</f>
        <v>Aurobindo Pharma Ltd.</v>
      </c>
      <c r="D47" s="3" t="str">
        <f aca="false">IF(LARGE(Scoring!$U$2:$U$151,$A47)&lt;0,"",INDEX(Tickers!$D$2:$D$151,MATCH(LARGE(Scoring!$U$2:$U$151,$A47),Scoring!$U$2:$U$151,0)))</f>
        <v>MIDCAP50</v>
      </c>
      <c r="E47" s="3" t="str">
        <f aca="false">IF(LARGE(Scoring!$U$2:$U$151,$A47)&lt;0,"",INDEX(Tickers!$C$2:$C$151,MATCH(LARGE(Scoring!$U$2:$U$151,$A47),Scoring!$U$2:$U$151,0)))</f>
        <v>Healthcare</v>
      </c>
      <c r="F47" s="5" t="n">
        <f aca="false">IF(LARGE(Scoring!$U$2:$U$151,$A47)&lt;0,"",INDEX(Scoring!$M$2:$M$151,MATCH(LARGE(Scoring!$U$2:$U$151,$A47),Scoring!$U$2:$U$151,0)))</f>
        <v>50.7</v>
      </c>
      <c r="G47" s="3" t="str">
        <f aca="false">IF(LARGE(Scoring!$U$2:$U$151,$A47)&lt;0,"",INDEX(Scoring!$P$2:$P$151,MATCH(LARGE(Scoring!$U$2:$U$151,$A47),Scoring!$U$2:$U$151,0)))</f>
        <v>HOLD</v>
      </c>
      <c r="H47" s="3" t="str">
        <f aca="false">IF(LARGE(Scoring!$U$2:$U$151,$A47)&lt;0,"",INDEX(Scoring!$Q$2:$Q$151,MATCH(LARGE(Scoring!$U$2:$U$151,$A47),Scoring!$U$2:$U$151,0)))</f>
        <v>Low</v>
      </c>
      <c r="I47" s="12" t="n">
        <f aca="false">IF(LARGE(Scoring!$U$2:$U$151,$A47)&lt;0,"",INDEX(Scoring!$R$2:$R$151,MATCH(LARGE(Scoring!$U$2:$U$151,$A47),Scoring!$U$2:$U$151,0)))</f>
        <v>0</v>
      </c>
      <c r="J47" s="3" t="str">
        <f aca="false">IF(LARGE(Scoring!$U$2:$U$151,$A47)&lt;0,"",INDEX(Scoring!$S$2:$S$151,MATCH(LARGE(Scoring!$U$2:$U$151,$A47),Scoring!$U$2:$U$151,0)))</f>
        <v>Rich valuation</v>
      </c>
      <c r="K47" s="20" t="n">
        <f aca="false">IF(LARGE(Scoring!$U$2:$U$151,$A47)&lt;0,"",INDEX(PriceMetrics!$B$2:$B$151,MATCH(LARGE(Scoring!$U$2:$U$151,$A47),Scoring!$U$2:$U$151,0)))</f>
        <v>0</v>
      </c>
      <c r="L47" s="5" t="n">
        <f aca="false">IF(LARGE(Scoring!$U$2:$U$151,$A47)&lt;0,"",INDEX(Fundamentals!$C$2:$C$151,MATCH(LARGE(Scoring!$U$2:$U$151,$A47),Scoring!$U$2:$U$151,0)))</f>
        <v>0</v>
      </c>
      <c r="M47" s="12" t="n">
        <f aca="false">IF(LARGE(Scoring!$U$2:$U$151,$A47)&lt;0,"",INDEX(Fundamentals!$F$2:$F$151,MATCH(LARGE(Scoring!$U$2:$U$151,$A47),Scoring!$U$2:$U$151,0)))</f>
        <v>0</v>
      </c>
      <c r="N47" s="12" t="n">
        <f aca="false">IF(LARGE(Scoring!$U$2:$U$151,$A47)&lt;0,"",INDEX(PriceMetrics!$P$2:$P$151,MATCH(LARGE(Scoring!$U$2:$U$151,$A47),Scoring!$U$2:$U$151,0)))</f>
        <v>0</v>
      </c>
    </row>
    <row r="48" customFormat="false" ht="15" hidden="false" customHeight="false" outlineLevel="0" collapsed="false">
      <c r="A48" s="3" t="n">
        <v>47</v>
      </c>
      <c r="B48" s="3" t="str">
        <f aca="false">IF(LARGE(Scoring!$U$2:$U$151,$A48)&lt;0,"",INDEX(Scoring!$A$2:$A$151,MATCH(LARGE(Scoring!$U$2:$U$151,$A48),Scoring!$U$2:$U$151,0)))</f>
        <v>ASHOKLEY</v>
      </c>
      <c r="C48" s="3" t="str">
        <f aca="false">IF(LARGE(Scoring!$U$2:$U$151,$A48)&lt;0,"",INDEX(Tickers!$B$2:$B$151,MATCH(LARGE(Scoring!$U$2:$U$151,$A48),Scoring!$U$2:$U$151,0)))</f>
        <v>Ashok Leyland Ltd.</v>
      </c>
      <c r="D48" s="3" t="str">
        <f aca="false">IF(LARGE(Scoring!$U$2:$U$151,$A48)&lt;0,"",INDEX(Tickers!$D$2:$D$151,MATCH(LARGE(Scoring!$U$2:$U$151,$A48),Scoring!$U$2:$U$151,0)))</f>
        <v>MIDCAP50</v>
      </c>
      <c r="E48" s="3" t="str">
        <f aca="false">IF(LARGE(Scoring!$U$2:$U$151,$A48)&lt;0,"",INDEX(Tickers!$C$2:$C$151,MATCH(LARGE(Scoring!$U$2:$U$151,$A48),Scoring!$U$2:$U$151,0)))</f>
        <v>Capital Goods</v>
      </c>
      <c r="F48" s="5" t="n">
        <f aca="false">IF(LARGE(Scoring!$U$2:$U$151,$A48)&lt;0,"",INDEX(Scoring!$M$2:$M$151,MATCH(LARGE(Scoring!$U$2:$U$151,$A48),Scoring!$U$2:$U$151,0)))</f>
        <v>50.7</v>
      </c>
      <c r="G48" s="3" t="str">
        <f aca="false">IF(LARGE(Scoring!$U$2:$U$151,$A48)&lt;0,"",INDEX(Scoring!$P$2:$P$151,MATCH(LARGE(Scoring!$U$2:$U$151,$A48),Scoring!$U$2:$U$151,0)))</f>
        <v>HOLD</v>
      </c>
      <c r="H48" s="3" t="str">
        <f aca="false">IF(LARGE(Scoring!$U$2:$U$151,$A48)&lt;0,"",INDEX(Scoring!$Q$2:$Q$151,MATCH(LARGE(Scoring!$U$2:$U$151,$A48),Scoring!$U$2:$U$151,0)))</f>
        <v>Low</v>
      </c>
      <c r="I48" s="12" t="n">
        <f aca="false">IF(LARGE(Scoring!$U$2:$U$151,$A48)&lt;0,"",INDEX(Scoring!$R$2:$R$151,MATCH(LARGE(Scoring!$U$2:$U$151,$A48),Scoring!$U$2:$U$151,0)))</f>
        <v>0</v>
      </c>
      <c r="J48" s="3" t="str">
        <f aca="false">IF(LARGE(Scoring!$U$2:$U$151,$A48)&lt;0,"",INDEX(Scoring!$S$2:$S$151,MATCH(LARGE(Scoring!$U$2:$U$151,$A48),Scoring!$U$2:$U$151,0)))</f>
        <v>Rich valuation</v>
      </c>
      <c r="K48" s="20" t="n">
        <f aca="false">IF(LARGE(Scoring!$U$2:$U$151,$A48)&lt;0,"",INDEX(PriceMetrics!$B$2:$B$151,MATCH(LARGE(Scoring!$U$2:$U$151,$A48),Scoring!$U$2:$U$151,0)))</f>
        <v>0</v>
      </c>
      <c r="L48" s="5" t="n">
        <f aca="false">IF(LARGE(Scoring!$U$2:$U$151,$A48)&lt;0,"",INDEX(Fundamentals!$C$2:$C$151,MATCH(LARGE(Scoring!$U$2:$U$151,$A48),Scoring!$U$2:$U$151,0)))</f>
        <v>0</v>
      </c>
      <c r="M48" s="12" t="n">
        <f aca="false">IF(LARGE(Scoring!$U$2:$U$151,$A48)&lt;0,"",INDEX(Fundamentals!$F$2:$F$151,MATCH(LARGE(Scoring!$U$2:$U$151,$A48),Scoring!$U$2:$U$151,0)))</f>
        <v>0</v>
      </c>
      <c r="N48" s="12" t="n">
        <f aca="false">IF(LARGE(Scoring!$U$2:$U$151,$A48)&lt;0,"",INDEX(PriceMetrics!$P$2:$P$151,MATCH(LARGE(Scoring!$U$2:$U$151,$A48),Scoring!$U$2:$U$151,0)))</f>
        <v>0</v>
      </c>
    </row>
    <row r="49" customFormat="false" ht="15" hidden="false" customHeight="false" outlineLevel="0" collapsed="false">
      <c r="A49" s="3" t="n">
        <v>48</v>
      </c>
      <c r="B49" s="3" t="str">
        <f aca="false">IF(LARGE(Scoring!$U$2:$U$151,$A49)&lt;0,"",INDEX(Scoring!$A$2:$A$151,MATCH(LARGE(Scoring!$U$2:$U$151,$A49),Scoring!$U$2:$U$151,0)))</f>
        <v>ALKEM</v>
      </c>
      <c r="C49" s="3" t="str">
        <f aca="false">IF(LARGE(Scoring!$U$2:$U$151,$A49)&lt;0,"",INDEX(Tickers!$B$2:$B$151,MATCH(LARGE(Scoring!$U$2:$U$151,$A49),Scoring!$U$2:$U$151,0)))</f>
        <v>Alkem Laboratories Ltd.</v>
      </c>
      <c r="D49" s="3" t="str">
        <f aca="false">IF(LARGE(Scoring!$U$2:$U$151,$A49)&lt;0,"",INDEX(Tickers!$D$2:$D$151,MATCH(LARGE(Scoring!$U$2:$U$151,$A49),Scoring!$U$2:$U$151,0)))</f>
        <v>MIDCAP50</v>
      </c>
      <c r="E49" s="3" t="str">
        <f aca="false">IF(LARGE(Scoring!$U$2:$U$151,$A49)&lt;0,"",INDEX(Tickers!$C$2:$C$151,MATCH(LARGE(Scoring!$U$2:$U$151,$A49),Scoring!$U$2:$U$151,0)))</f>
        <v>Healthcare</v>
      </c>
      <c r="F49" s="5" t="n">
        <f aca="false">IF(LARGE(Scoring!$U$2:$U$151,$A49)&lt;0,"",INDEX(Scoring!$M$2:$M$151,MATCH(LARGE(Scoring!$U$2:$U$151,$A49),Scoring!$U$2:$U$151,0)))</f>
        <v>50.7</v>
      </c>
      <c r="G49" s="3" t="str">
        <f aca="false">IF(LARGE(Scoring!$U$2:$U$151,$A49)&lt;0,"",INDEX(Scoring!$P$2:$P$151,MATCH(LARGE(Scoring!$U$2:$U$151,$A49),Scoring!$U$2:$U$151,0)))</f>
        <v>HOLD</v>
      </c>
      <c r="H49" s="3" t="str">
        <f aca="false">IF(LARGE(Scoring!$U$2:$U$151,$A49)&lt;0,"",INDEX(Scoring!$Q$2:$Q$151,MATCH(LARGE(Scoring!$U$2:$U$151,$A49),Scoring!$U$2:$U$151,0)))</f>
        <v>Low</v>
      </c>
      <c r="I49" s="12" t="n">
        <f aca="false">IF(LARGE(Scoring!$U$2:$U$151,$A49)&lt;0,"",INDEX(Scoring!$R$2:$R$151,MATCH(LARGE(Scoring!$U$2:$U$151,$A49),Scoring!$U$2:$U$151,0)))</f>
        <v>0</v>
      </c>
      <c r="J49" s="3" t="str">
        <f aca="false">IF(LARGE(Scoring!$U$2:$U$151,$A49)&lt;0,"",INDEX(Scoring!$S$2:$S$151,MATCH(LARGE(Scoring!$U$2:$U$151,$A49),Scoring!$U$2:$U$151,0)))</f>
        <v>Rich valuation</v>
      </c>
      <c r="K49" s="20" t="n">
        <f aca="false">IF(LARGE(Scoring!$U$2:$U$151,$A49)&lt;0,"",INDEX(PriceMetrics!$B$2:$B$151,MATCH(LARGE(Scoring!$U$2:$U$151,$A49),Scoring!$U$2:$U$151,0)))</f>
        <v>0</v>
      </c>
      <c r="L49" s="5" t="n">
        <f aca="false">IF(LARGE(Scoring!$U$2:$U$151,$A49)&lt;0,"",INDEX(Fundamentals!$C$2:$C$151,MATCH(LARGE(Scoring!$U$2:$U$151,$A49),Scoring!$U$2:$U$151,0)))</f>
        <v>0</v>
      </c>
      <c r="M49" s="12" t="n">
        <f aca="false">IF(LARGE(Scoring!$U$2:$U$151,$A49)&lt;0,"",INDEX(Fundamentals!$F$2:$F$151,MATCH(LARGE(Scoring!$U$2:$U$151,$A49),Scoring!$U$2:$U$151,0)))</f>
        <v>0</v>
      </c>
      <c r="N49" s="12" t="n">
        <f aca="false">IF(LARGE(Scoring!$U$2:$U$151,$A49)&lt;0,"",INDEX(PriceMetrics!$P$2:$P$151,MATCH(LARGE(Scoring!$U$2:$U$151,$A49),Scoring!$U$2:$U$151,0)))</f>
        <v>0</v>
      </c>
    </row>
    <row r="50" customFormat="false" ht="15" hidden="false" customHeight="false" outlineLevel="0" collapsed="false">
      <c r="A50" s="3" t="n">
        <v>49</v>
      </c>
      <c r="B50" s="3" t="str">
        <f aca="false">IF(LARGE(Scoring!$U$2:$U$151,$A50)&lt;0,"",INDEX(Scoring!$A$2:$A$151,MATCH(LARGE(Scoring!$U$2:$U$151,$A50),Scoring!$U$2:$U$151,0)))</f>
        <v>AUBANK</v>
      </c>
      <c r="C50" s="3" t="str">
        <f aca="false">IF(LARGE(Scoring!$U$2:$U$151,$A50)&lt;0,"",INDEX(Tickers!$B$2:$B$151,MATCH(LARGE(Scoring!$U$2:$U$151,$A50),Scoring!$U$2:$U$151,0)))</f>
        <v>AU Small Finance Bank Ltd.</v>
      </c>
      <c r="D50" s="3" t="str">
        <f aca="false">IF(LARGE(Scoring!$U$2:$U$151,$A50)&lt;0,"",INDEX(Tickers!$D$2:$D$151,MATCH(LARGE(Scoring!$U$2:$U$151,$A50),Scoring!$U$2:$U$151,0)))</f>
        <v>MIDCAP50</v>
      </c>
      <c r="E50" s="3" t="str">
        <f aca="false">IF(LARGE(Scoring!$U$2:$U$151,$A50)&lt;0,"",INDEX(Tickers!$C$2:$C$151,MATCH(LARGE(Scoring!$U$2:$U$151,$A50),Scoring!$U$2:$U$151,0)))</f>
        <v>Financial Services</v>
      </c>
      <c r="F50" s="5" t="n">
        <f aca="false">IF(LARGE(Scoring!$U$2:$U$151,$A50)&lt;0,"",INDEX(Scoring!$M$2:$M$151,MATCH(LARGE(Scoring!$U$2:$U$151,$A50),Scoring!$U$2:$U$151,0)))</f>
        <v>50.7</v>
      </c>
      <c r="G50" s="3" t="str">
        <f aca="false">IF(LARGE(Scoring!$U$2:$U$151,$A50)&lt;0,"",INDEX(Scoring!$P$2:$P$151,MATCH(LARGE(Scoring!$U$2:$U$151,$A50),Scoring!$U$2:$U$151,0)))</f>
        <v>HOLD</v>
      </c>
      <c r="H50" s="3" t="str">
        <f aca="false">IF(LARGE(Scoring!$U$2:$U$151,$A50)&lt;0,"",INDEX(Scoring!$Q$2:$Q$151,MATCH(LARGE(Scoring!$U$2:$U$151,$A50),Scoring!$U$2:$U$151,0)))</f>
        <v>Low</v>
      </c>
      <c r="I50" s="12" t="n">
        <f aca="false">IF(LARGE(Scoring!$U$2:$U$151,$A50)&lt;0,"",INDEX(Scoring!$R$2:$R$151,MATCH(LARGE(Scoring!$U$2:$U$151,$A50),Scoring!$U$2:$U$151,0)))</f>
        <v>0</v>
      </c>
      <c r="J50" s="3" t="str">
        <f aca="false">IF(LARGE(Scoring!$U$2:$U$151,$A50)&lt;0,"",INDEX(Scoring!$S$2:$S$151,MATCH(LARGE(Scoring!$U$2:$U$151,$A50),Scoring!$U$2:$U$151,0)))</f>
        <v>Rich valuation</v>
      </c>
      <c r="K50" s="20" t="n">
        <f aca="false">IF(LARGE(Scoring!$U$2:$U$151,$A50)&lt;0,"",INDEX(PriceMetrics!$B$2:$B$151,MATCH(LARGE(Scoring!$U$2:$U$151,$A50),Scoring!$U$2:$U$151,0)))</f>
        <v>0</v>
      </c>
      <c r="L50" s="5" t="n">
        <f aca="false">IF(LARGE(Scoring!$U$2:$U$151,$A50)&lt;0,"",INDEX(Fundamentals!$C$2:$C$151,MATCH(LARGE(Scoring!$U$2:$U$151,$A50),Scoring!$U$2:$U$151,0)))</f>
        <v>0</v>
      </c>
      <c r="M50" s="12" t="n">
        <f aca="false">IF(LARGE(Scoring!$U$2:$U$151,$A50)&lt;0,"",INDEX(Fundamentals!$F$2:$F$151,MATCH(LARGE(Scoring!$U$2:$U$151,$A50),Scoring!$U$2:$U$151,0)))</f>
        <v>0</v>
      </c>
      <c r="N50" s="12" t="n">
        <f aca="false">IF(LARGE(Scoring!$U$2:$U$151,$A50)&lt;0,"",INDEX(PriceMetrics!$P$2:$P$151,MATCH(LARGE(Scoring!$U$2:$U$151,$A50),Scoring!$U$2:$U$151,0)))</f>
        <v>0</v>
      </c>
    </row>
    <row r="51" customFormat="false" ht="15" hidden="false" customHeight="false" outlineLevel="0" collapsed="false">
      <c r="A51" s="3" t="n">
        <v>50</v>
      </c>
      <c r="B51" s="3" t="str">
        <f aca="false">IF(LARGE(Scoring!$U$2:$U$151,$A51)&lt;0,"",INDEX(Scoring!$A$2:$A$151,MATCH(LARGE(Scoring!$U$2:$U$151,$A51),Scoring!$U$2:$U$151,0)))</f>
        <v>APLAPOLLO</v>
      </c>
      <c r="C51" s="3" t="str">
        <f aca="false">IF(LARGE(Scoring!$U$2:$U$151,$A51)&lt;0,"",INDEX(Tickers!$B$2:$B$151,MATCH(LARGE(Scoring!$U$2:$U$151,$A51),Scoring!$U$2:$U$151,0)))</f>
        <v>APL Apollo Tubes Ltd.</v>
      </c>
      <c r="D51" s="3" t="str">
        <f aca="false">IF(LARGE(Scoring!$U$2:$U$151,$A51)&lt;0,"",INDEX(Tickers!$D$2:$D$151,MATCH(LARGE(Scoring!$U$2:$U$151,$A51),Scoring!$U$2:$U$151,0)))</f>
        <v>MIDCAP50</v>
      </c>
      <c r="E51" s="3" t="str">
        <f aca="false">IF(LARGE(Scoring!$U$2:$U$151,$A51)&lt;0,"",INDEX(Tickers!$C$2:$C$151,MATCH(LARGE(Scoring!$U$2:$U$151,$A51),Scoring!$U$2:$U$151,0)))</f>
        <v>Capital Goods</v>
      </c>
      <c r="F51" s="5" t="n">
        <f aca="false">IF(LARGE(Scoring!$U$2:$U$151,$A51)&lt;0,"",INDEX(Scoring!$M$2:$M$151,MATCH(LARGE(Scoring!$U$2:$U$151,$A51),Scoring!$U$2:$U$151,0)))</f>
        <v>50.7</v>
      </c>
      <c r="G51" s="3" t="str">
        <f aca="false">IF(LARGE(Scoring!$U$2:$U$151,$A51)&lt;0,"",INDEX(Scoring!$P$2:$P$151,MATCH(LARGE(Scoring!$U$2:$U$151,$A51),Scoring!$U$2:$U$151,0)))</f>
        <v>HOLD</v>
      </c>
      <c r="H51" s="3" t="str">
        <f aca="false">IF(LARGE(Scoring!$U$2:$U$151,$A51)&lt;0,"",INDEX(Scoring!$Q$2:$Q$151,MATCH(LARGE(Scoring!$U$2:$U$151,$A51),Scoring!$U$2:$U$151,0)))</f>
        <v>Low</v>
      </c>
      <c r="I51" s="12" t="n">
        <f aca="false">IF(LARGE(Scoring!$U$2:$U$151,$A51)&lt;0,"",INDEX(Scoring!$R$2:$R$151,MATCH(LARGE(Scoring!$U$2:$U$151,$A51),Scoring!$U$2:$U$151,0)))</f>
        <v>0</v>
      </c>
      <c r="J51" s="3" t="str">
        <f aca="false">IF(LARGE(Scoring!$U$2:$U$151,$A51)&lt;0,"",INDEX(Scoring!$S$2:$S$151,MATCH(LARGE(Scoring!$U$2:$U$151,$A51),Scoring!$U$2:$U$151,0)))</f>
        <v>Rich valuation</v>
      </c>
      <c r="K51" s="20" t="n">
        <f aca="false">IF(LARGE(Scoring!$U$2:$U$151,$A51)&lt;0,"",INDEX(PriceMetrics!$B$2:$B$151,MATCH(LARGE(Scoring!$U$2:$U$151,$A51),Scoring!$U$2:$U$151,0)))</f>
        <v>0</v>
      </c>
      <c r="L51" s="5" t="n">
        <f aca="false">IF(LARGE(Scoring!$U$2:$U$151,$A51)&lt;0,"",INDEX(Fundamentals!$C$2:$C$151,MATCH(LARGE(Scoring!$U$2:$U$151,$A51),Scoring!$U$2:$U$151,0)))</f>
        <v>0</v>
      </c>
      <c r="M51" s="12" t="n">
        <f aca="false">IF(LARGE(Scoring!$U$2:$U$151,$A51)&lt;0,"",INDEX(Fundamentals!$F$2:$F$151,MATCH(LARGE(Scoring!$U$2:$U$151,$A51),Scoring!$U$2:$U$151,0)))</f>
        <v>0</v>
      </c>
      <c r="N51" s="12" t="n">
        <f aca="false">IF(LARGE(Scoring!$U$2:$U$151,$A51)&lt;0,"",INDEX(PriceMetrics!$P$2:$P$151,MATCH(LARGE(Scoring!$U$2:$U$151,$A51),Scoring!$U$2:$U$151,0)))</f>
        <v>0</v>
      </c>
    </row>
    <row r="52" customFormat="false" ht="15" hidden="false" customHeight="false" outlineLevel="0" collapsed="false">
      <c r="A52" s="3" t="n">
        <v>51</v>
      </c>
      <c r="B52" s="3" t="str">
        <f aca="false">IF(LARGE(Scoring!$U$2:$U$151,$A52)&lt;0,"",INDEX(Scoring!$A$2:$A$151,MATCH(LARGE(Scoring!$U$2:$U$151,$A52),Scoring!$U$2:$U$151,0)))</f>
        <v/>
      </c>
      <c r="C52" s="3" t="str">
        <f aca="false">IF(LARGE(Scoring!$U$2:$U$151,$A52)&lt;0,"",INDEX(Tickers!$B$2:$B$151,MATCH(LARGE(Scoring!$U$2:$U$151,$A52),Scoring!$U$2:$U$151,0)))</f>
        <v/>
      </c>
      <c r="D52" s="3" t="str">
        <f aca="false">IF(LARGE(Scoring!$U$2:$U$151,$A52)&lt;0,"",INDEX(Tickers!$D$2:$D$151,MATCH(LARGE(Scoring!$U$2:$U$151,$A52),Scoring!$U$2:$U$151,0)))</f>
        <v/>
      </c>
      <c r="E52" s="3" t="str">
        <f aca="false">IF(LARGE(Scoring!$U$2:$U$151,$A52)&lt;0,"",INDEX(Tickers!$C$2:$C$151,MATCH(LARGE(Scoring!$U$2:$U$151,$A52),Scoring!$U$2:$U$151,0)))</f>
        <v/>
      </c>
      <c r="F52" s="5" t="str">
        <f aca="false">IF(LARGE(Scoring!$U$2:$U$151,$A52)&lt;0,"",INDEX(Scoring!$M$2:$M$151,MATCH(LARGE(Scoring!$U$2:$U$151,$A52),Scoring!$U$2:$U$151,0)))</f>
        <v/>
      </c>
      <c r="G52" s="3" t="str">
        <f aca="false">IF(LARGE(Scoring!$U$2:$U$151,$A52)&lt;0,"",INDEX(Scoring!$P$2:$P$151,MATCH(LARGE(Scoring!$U$2:$U$151,$A52),Scoring!$U$2:$U$151,0)))</f>
        <v/>
      </c>
      <c r="H52" s="3" t="str">
        <f aca="false">IF(LARGE(Scoring!$U$2:$U$151,$A52)&lt;0,"",INDEX(Scoring!$Q$2:$Q$151,MATCH(LARGE(Scoring!$U$2:$U$151,$A52),Scoring!$U$2:$U$151,0)))</f>
        <v/>
      </c>
      <c r="I52" s="12" t="str">
        <f aca="false">IF(LARGE(Scoring!$U$2:$U$151,$A52)&lt;0,"",INDEX(Scoring!$R$2:$R$151,MATCH(LARGE(Scoring!$U$2:$U$151,$A52),Scoring!$U$2:$U$151,0)))</f>
        <v/>
      </c>
      <c r="J52" s="3" t="str">
        <f aca="false">IF(LARGE(Scoring!$U$2:$U$151,$A52)&lt;0,"",INDEX(Scoring!$S$2:$S$151,MATCH(LARGE(Scoring!$U$2:$U$151,$A52),Scoring!$U$2:$U$151,0)))</f>
        <v/>
      </c>
      <c r="K52" s="20" t="str">
        <f aca="false">IF(LARGE(Scoring!$U$2:$U$151,$A52)&lt;0,"",INDEX(PriceMetrics!$B$2:$B$151,MATCH(LARGE(Scoring!$U$2:$U$151,$A52),Scoring!$U$2:$U$151,0)))</f>
        <v/>
      </c>
      <c r="L52" s="5" t="str">
        <f aca="false">IF(LARGE(Scoring!$U$2:$U$151,$A52)&lt;0,"",INDEX(Fundamentals!$C$2:$C$151,MATCH(LARGE(Scoring!$U$2:$U$151,$A52),Scoring!$U$2:$U$151,0)))</f>
        <v/>
      </c>
      <c r="M52" s="12" t="str">
        <f aca="false">IF(LARGE(Scoring!$U$2:$U$151,$A52)&lt;0,"",INDEX(Fundamentals!$F$2:$F$151,MATCH(LARGE(Scoring!$U$2:$U$151,$A52),Scoring!$U$2:$U$151,0)))</f>
        <v/>
      </c>
      <c r="N52" s="12" t="str">
        <f aca="false">IF(LARGE(Scoring!$U$2:$U$151,$A52)&lt;0,"",INDEX(PriceMetrics!$P$2:$P$151,MATCH(LARGE(Scoring!$U$2:$U$151,$A52),Scoring!$U$2:$U$151,0)))</f>
        <v/>
      </c>
    </row>
    <row r="53" customFormat="false" ht="15" hidden="false" customHeight="false" outlineLevel="0" collapsed="false">
      <c r="A53" s="3" t="n">
        <v>52</v>
      </c>
      <c r="B53" s="3" t="str">
        <f aca="false">IF(LARGE(Scoring!$U$2:$U$151,$A53)&lt;0,"",INDEX(Scoring!$A$2:$A$151,MATCH(LARGE(Scoring!$U$2:$U$151,$A53),Scoring!$U$2:$U$151,0)))</f>
        <v/>
      </c>
      <c r="C53" s="3" t="str">
        <f aca="false">IF(LARGE(Scoring!$U$2:$U$151,$A53)&lt;0,"",INDEX(Tickers!$B$2:$B$151,MATCH(LARGE(Scoring!$U$2:$U$151,$A53),Scoring!$U$2:$U$151,0)))</f>
        <v/>
      </c>
      <c r="D53" s="3" t="str">
        <f aca="false">IF(LARGE(Scoring!$U$2:$U$151,$A53)&lt;0,"",INDEX(Tickers!$D$2:$D$151,MATCH(LARGE(Scoring!$U$2:$U$151,$A53),Scoring!$U$2:$U$151,0)))</f>
        <v/>
      </c>
      <c r="E53" s="3" t="str">
        <f aca="false">IF(LARGE(Scoring!$U$2:$U$151,$A53)&lt;0,"",INDEX(Tickers!$C$2:$C$151,MATCH(LARGE(Scoring!$U$2:$U$151,$A53),Scoring!$U$2:$U$151,0)))</f>
        <v/>
      </c>
      <c r="F53" s="5" t="str">
        <f aca="false">IF(LARGE(Scoring!$U$2:$U$151,$A53)&lt;0,"",INDEX(Scoring!$M$2:$M$151,MATCH(LARGE(Scoring!$U$2:$U$151,$A53),Scoring!$U$2:$U$151,0)))</f>
        <v/>
      </c>
      <c r="G53" s="3" t="str">
        <f aca="false">IF(LARGE(Scoring!$U$2:$U$151,$A53)&lt;0,"",INDEX(Scoring!$P$2:$P$151,MATCH(LARGE(Scoring!$U$2:$U$151,$A53),Scoring!$U$2:$U$151,0)))</f>
        <v/>
      </c>
      <c r="H53" s="3" t="str">
        <f aca="false">IF(LARGE(Scoring!$U$2:$U$151,$A53)&lt;0,"",INDEX(Scoring!$Q$2:$Q$151,MATCH(LARGE(Scoring!$U$2:$U$151,$A53),Scoring!$U$2:$U$151,0)))</f>
        <v/>
      </c>
      <c r="I53" s="12" t="str">
        <f aca="false">IF(LARGE(Scoring!$U$2:$U$151,$A53)&lt;0,"",INDEX(Scoring!$R$2:$R$151,MATCH(LARGE(Scoring!$U$2:$U$151,$A53),Scoring!$U$2:$U$151,0)))</f>
        <v/>
      </c>
      <c r="J53" s="3" t="str">
        <f aca="false">IF(LARGE(Scoring!$U$2:$U$151,$A53)&lt;0,"",INDEX(Scoring!$S$2:$S$151,MATCH(LARGE(Scoring!$U$2:$U$151,$A53),Scoring!$U$2:$U$151,0)))</f>
        <v/>
      </c>
      <c r="K53" s="20" t="str">
        <f aca="false">IF(LARGE(Scoring!$U$2:$U$151,$A53)&lt;0,"",INDEX(PriceMetrics!$B$2:$B$151,MATCH(LARGE(Scoring!$U$2:$U$151,$A53),Scoring!$U$2:$U$151,0)))</f>
        <v/>
      </c>
      <c r="L53" s="5" t="str">
        <f aca="false">IF(LARGE(Scoring!$U$2:$U$151,$A53)&lt;0,"",INDEX(Fundamentals!$C$2:$C$151,MATCH(LARGE(Scoring!$U$2:$U$151,$A53),Scoring!$U$2:$U$151,0)))</f>
        <v/>
      </c>
      <c r="M53" s="12" t="str">
        <f aca="false">IF(LARGE(Scoring!$U$2:$U$151,$A53)&lt;0,"",INDEX(Fundamentals!$F$2:$F$151,MATCH(LARGE(Scoring!$U$2:$U$151,$A53),Scoring!$U$2:$U$151,0)))</f>
        <v/>
      </c>
      <c r="N53" s="12" t="str">
        <f aca="false">IF(LARGE(Scoring!$U$2:$U$151,$A53)&lt;0,"",INDEX(PriceMetrics!$P$2:$P$151,MATCH(LARGE(Scoring!$U$2:$U$151,$A53),Scoring!$U$2:$U$151,0)))</f>
        <v/>
      </c>
    </row>
    <row r="54" customFormat="false" ht="15" hidden="false" customHeight="false" outlineLevel="0" collapsed="false">
      <c r="A54" s="3" t="n">
        <v>53</v>
      </c>
      <c r="B54" s="3" t="str">
        <f aca="false">IF(LARGE(Scoring!$U$2:$U$151,$A54)&lt;0,"",INDEX(Scoring!$A$2:$A$151,MATCH(LARGE(Scoring!$U$2:$U$151,$A54),Scoring!$U$2:$U$151,0)))</f>
        <v/>
      </c>
      <c r="C54" s="3" t="str">
        <f aca="false">IF(LARGE(Scoring!$U$2:$U$151,$A54)&lt;0,"",INDEX(Tickers!$B$2:$B$151,MATCH(LARGE(Scoring!$U$2:$U$151,$A54),Scoring!$U$2:$U$151,0)))</f>
        <v/>
      </c>
      <c r="D54" s="3" t="str">
        <f aca="false">IF(LARGE(Scoring!$U$2:$U$151,$A54)&lt;0,"",INDEX(Tickers!$D$2:$D$151,MATCH(LARGE(Scoring!$U$2:$U$151,$A54),Scoring!$U$2:$U$151,0)))</f>
        <v/>
      </c>
      <c r="E54" s="3" t="str">
        <f aca="false">IF(LARGE(Scoring!$U$2:$U$151,$A54)&lt;0,"",INDEX(Tickers!$C$2:$C$151,MATCH(LARGE(Scoring!$U$2:$U$151,$A54),Scoring!$U$2:$U$151,0)))</f>
        <v/>
      </c>
      <c r="F54" s="5" t="str">
        <f aca="false">IF(LARGE(Scoring!$U$2:$U$151,$A54)&lt;0,"",INDEX(Scoring!$M$2:$M$151,MATCH(LARGE(Scoring!$U$2:$U$151,$A54),Scoring!$U$2:$U$151,0)))</f>
        <v/>
      </c>
      <c r="G54" s="3" t="str">
        <f aca="false">IF(LARGE(Scoring!$U$2:$U$151,$A54)&lt;0,"",INDEX(Scoring!$P$2:$P$151,MATCH(LARGE(Scoring!$U$2:$U$151,$A54),Scoring!$U$2:$U$151,0)))</f>
        <v/>
      </c>
      <c r="H54" s="3" t="str">
        <f aca="false">IF(LARGE(Scoring!$U$2:$U$151,$A54)&lt;0,"",INDEX(Scoring!$Q$2:$Q$151,MATCH(LARGE(Scoring!$U$2:$U$151,$A54),Scoring!$U$2:$U$151,0)))</f>
        <v/>
      </c>
      <c r="I54" s="12" t="str">
        <f aca="false">IF(LARGE(Scoring!$U$2:$U$151,$A54)&lt;0,"",INDEX(Scoring!$R$2:$R$151,MATCH(LARGE(Scoring!$U$2:$U$151,$A54),Scoring!$U$2:$U$151,0)))</f>
        <v/>
      </c>
      <c r="J54" s="3" t="str">
        <f aca="false">IF(LARGE(Scoring!$U$2:$U$151,$A54)&lt;0,"",INDEX(Scoring!$S$2:$S$151,MATCH(LARGE(Scoring!$U$2:$U$151,$A54),Scoring!$U$2:$U$151,0)))</f>
        <v/>
      </c>
      <c r="K54" s="20" t="str">
        <f aca="false">IF(LARGE(Scoring!$U$2:$U$151,$A54)&lt;0,"",INDEX(PriceMetrics!$B$2:$B$151,MATCH(LARGE(Scoring!$U$2:$U$151,$A54),Scoring!$U$2:$U$151,0)))</f>
        <v/>
      </c>
      <c r="L54" s="5" t="str">
        <f aca="false">IF(LARGE(Scoring!$U$2:$U$151,$A54)&lt;0,"",INDEX(Fundamentals!$C$2:$C$151,MATCH(LARGE(Scoring!$U$2:$U$151,$A54),Scoring!$U$2:$U$151,0)))</f>
        <v/>
      </c>
      <c r="M54" s="12" t="str">
        <f aca="false">IF(LARGE(Scoring!$U$2:$U$151,$A54)&lt;0,"",INDEX(Fundamentals!$F$2:$F$151,MATCH(LARGE(Scoring!$U$2:$U$151,$A54),Scoring!$U$2:$U$151,0)))</f>
        <v/>
      </c>
      <c r="N54" s="12" t="str">
        <f aca="false">IF(LARGE(Scoring!$U$2:$U$151,$A54)&lt;0,"",INDEX(PriceMetrics!$P$2:$P$151,MATCH(LARGE(Scoring!$U$2:$U$151,$A54),Scoring!$U$2:$U$151,0)))</f>
        <v/>
      </c>
    </row>
    <row r="55" customFormat="false" ht="15" hidden="false" customHeight="false" outlineLevel="0" collapsed="false">
      <c r="A55" s="3" t="n">
        <v>54</v>
      </c>
      <c r="B55" s="3" t="str">
        <f aca="false">IF(LARGE(Scoring!$U$2:$U$151,$A55)&lt;0,"",INDEX(Scoring!$A$2:$A$151,MATCH(LARGE(Scoring!$U$2:$U$151,$A55),Scoring!$U$2:$U$151,0)))</f>
        <v/>
      </c>
      <c r="C55" s="3" t="str">
        <f aca="false">IF(LARGE(Scoring!$U$2:$U$151,$A55)&lt;0,"",INDEX(Tickers!$B$2:$B$151,MATCH(LARGE(Scoring!$U$2:$U$151,$A55),Scoring!$U$2:$U$151,0)))</f>
        <v/>
      </c>
      <c r="D55" s="3" t="str">
        <f aca="false">IF(LARGE(Scoring!$U$2:$U$151,$A55)&lt;0,"",INDEX(Tickers!$D$2:$D$151,MATCH(LARGE(Scoring!$U$2:$U$151,$A55),Scoring!$U$2:$U$151,0)))</f>
        <v/>
      </c>
      <c r="E55" s="3" t="str">
        <f aca="false">IF(LARGE(Scoring!$U$2:$U$151,$A55)&lt;0,"",INDEX(Tickers!$C$2:$C$151,MATCH(LARGE(Scoring!$U$2:$U$151,$A55),Scoring!$U$2:$U$151,0)))</f>
        <v/>
      </c>
      <c r="F55" s="5" t="str">
        <f aca="false">IF(LARGE(Scoring!$U$2:$U$151,$A55)&lt;0,"",INDEX(Scoring!$M$2:$M$151,MATCH(LARGE(Scoring!$U$2:$U$151,$A55),Scoring!$U$2:$U$151,0)))</f>
        <v/>
      </c>
      <c r="G55" s="3" t="str">
        <f aca="false">IF(LARGE(Scoring!$U$2:$U$151,$A55)&lt;0,"",INDEX(Scoring!$P$2:$P$151,MATCH(LARGE(Scoring!$U$2:$U$151,$A55),Scoring!$U$2:$U$151,0)))</f>
        <v/>
      </c>
      <c r="H55" s="3" t="str">
        <f aca="false">IF(LARGE(Scoring!$U$2:$U$151,$A55)&lt;0,"",INDEX(Scoring!$Q$2:$Q$151,MATCH(LARGE(Scoring!$U$2:$U$151,$A55),Scoring!$U$2:$U$151,0)))</f>
        <v/>
      </c>
      <c r="I55" s="12" t="str">
        <f aca="false">IF(LARGE(Scoring!$U$2:$U$151,$A55)&lt;0,"",INDEX(Scoring!$R$2:$R$151,MATCH(LARGE(Scoring!$U$2:$U$151,$A55),Scoring!$U$2:$U$151,0)))</f>
        <v/>
      </c>
      <c r="J55" s="3" t="str">
        <f aca="false">IF(LARGE(Scoring!$U$2:$U$151,$A55)&lt;0,"",INDEX(Scoring!$S$2:$S$151,MATCH(LARGE(Scoring!$U$2:$U$151,$A55),Scoring!$U$2:$U$151,0)))</f>
        <v/>
      </c>
      <c r="K55" s="20" t="str">
        <f aca="false">IF(LARGE(Scoring!$U$2:$U$151,$A55)&lt;0,"",INDEX(PriceMetrics!$B$2:$B$151,MATCH(LARGE(Scoring!$U$2:$U$151,$A55),Scoring!$U$2:$U$151,0)))</f>
        <v/>
      </c>
      <c r="L55" s="5" t="str">
        <f aca="false">IF(LARGE(Scoring!$U$2:$U$151,$A55)&lt;0,"",INDEX(Fundamentals!$C$2:$C$151,MATCH(LARGE(Scoring!$U$2:$U$151,$A55),Scoring!$U$2:$U$151,0)))</f>
        <v/>
      </c>
      <c r="M55" s="12" t="str">
        <f aca="false">IF(LARGE(Scoring!$U$2:$U$151,$A55)&lt;0,"",INDEX(Fundamentals!$F$2:$F$151,MATCH(LARGE(Scoring!$U$2:$U$151,$A55),Scoring!$U$2:$U$151,0)))</f>
        <v/>
      </c>
      <c r="N55" s="12" t="str">
        <f aca="false">IF(LARGE(Scoring!$U$2:$U$151,$A55)&lt;0,"",INDEX(PriceMetrics!$P$2:$P$151,MATCH(LARGE(Scoring!$U$2:$U$151,$A55),Scoring!$U$2:$U$151,0)))</f>
        <v/>
      </c>
    </row>
    <row r="56" customFormat="false" ht="15" hidden="false" customHeight="false" outlineLevel="0" collapsed="false">
      <c r="A56" s="3" t="n">
        <v>55</v>
      </c>
      <c r="B56" s="3" t="str">
        <f aca="false">IF(LARGE(Scoring!$U$2:$U$151,$A56)&lt;0,"",INDEX(Scoring!$A$2:$A$151,MATCH(LARGE(Scoring!$U$2:$U$151,$A56),Scoring!$U$2:$U$151,0)))</f>
        <v/>
      </c>
      <c r="C56" s="3" t="str">
        <f aca="false">IF(LARGE(Scoring!$U$2:$U$151,$A56)&lt;0,"",INDEX(Tickers!$B$2:$B$151,MATCH(LARGE(Scoring!$U$2:$U$151,$A56),Scoring!$U$2:$U$151,0)))</f>
        <v/>
      </c>
      <c r="D56" s="3" t="str">
        <f aca="false">IF(LARGE(Scoring!$U$2:$U$151,$A56)&lt;0,"",INDEX(Tickers!$D$2:$D$151,MATCH(LARGE(Scoring!$U$2:$U$151,$A56),Scoring!$U$2:$U$151,0)))</f>
        <v/>
      </c>
      <c r="E56" s="3" t="str">
        <f aca="false">IF(LARGE(Scoring!$U$2:$U$151,$A56)&lt;0,"",INDEX(Tickers!$C$2:$C$151,MATCH(LARGE(Scoring!$U$2:$U$151,$A56),Scoring!$U$2:$U$151,0)))</f>
        <v/>
      </c>
      <c r="F56" s="5" t="str">
        <f aca="false">IF(LARGE(Scoring!$U$2:$U$151,$A56)&lt;0,"",INDEX(Scoring!$M$2:$M$151,MATCH(LARGE(Scoring!$U$2:$U$151,$A56),Scoring!$U$2:$U$151,0)))</f>
        <v/>
      </c>
      <c r="G56" s="3" t="str">
        <f aca="false">IF(LARGE(Scoring!$U$2:$U$151,$A56)&lt;0,"",INDEX(Scoring!$P$2:$P$151,MATCH(LARGE(Scoring!$U$2:$U$151,$A56),Scoring!$U$2:$U$151,0)))</f>
        <v/>
      </c>
      <c r="H56" s="3" t="str">
        <f aca="false">IF(LARGE(Scoring!$U$2:$U$151,$A56)&lt;0,"",INDEX(Scoring!$Q$2:$Q$151,MATCH(LARGE(Scoring!$U$2:$U$151,$A56),Scoring!$U$2:$U$151,0)))</f>
        <v/>
      </c>
      <c r="I56" s="12" t="str">
        <f aca="false">IF(LARGE(Scoring!$U$2:$U$151,$A56)&lt;0,"",INDEX(Scoring!$R$2:$R$151,MATCH(LARGE(Scoring!$U$2:$U$151,$A56),Scoring!$U$2:$U$151,0)))</f>
        <v/>
      </c>
      <c r="J56" s="3" t="str">
        <f aca="false">IF(LARGE(Scoring!$U$2:$U$151,$A56)&lt;0,"",INDEX(Scoring!$S$2:$S$151,MATCH(LARGE(Scoring!$U$2:$U$151,$A56),Scoring!$U$2:$U$151,0)))</f>
        <v/>
      </c>
      <c r="K56" s="20" t="str">
        <f aca="false">IF(LARGE(Scoring!$U$2:$U$151,$A56)&lt;0,"",INDEX(PriceMetrics!$B$2:$B$151,MATCH(LARGE(Scoring!$U$2:$U$151,$A56),Scoring!$U$2:$U$151,0)))</f>
        <v/>
      </c>
      <c r="L56" s="5" t="str">
        <f aca="false">IF(LARGE(Scoring!$U$2:$U$151,$A56)&lt;0,"",INDEX(Fundamentals!$C$2:$C$151,MATCH(LARGE(Scoring!$U$2:$U$151,$A56),Scoring!$U$2:$U$151,0)))</f>
        <v/>
      </c>
      <c r="M56" s="12" t="str">
        <f aca="false">IF(LARGE(Scoring!$U$2:$U$151,$A56)&lt;0,"",INDEX(Fundamentals!$F$2:$F$151,MATCH(LARGE(Scoring!$U$2:$U$151,$A56),Scoring!$U$2:$U$151,0)))</f>
        <v/>
      </c>
      <c r="N56" s="12" t="str">
        <f aca="false">IF(LARGE(Scoring!$U$2:$U$151,$A56)&lt;0,"",INDEX(PriceMetrics!$P$2:$P$151,MATCH(LARGE(Scoring!$U$2:$U$151,$A56),Scoring!$U$2:$U$151,0)))</f>
        <v/>
      </c>
    </row>
    <row r="57" customFormat="false" ht="15" hidden="false" customHeight="false" outlineLevel="0" collapsed="false">
      <c r="A57" s="3" t="n">
        <v>56</v>
      </c>
      <c r="B57" s="3" t="str">
        <f aca="false">IF(LARGE(Scoring!$U$2:$U$151,$A57)&lt;0,"",INDEX(Scoring!$A$2:$A$151,MATCH(LARGE(Scoring!$U$2:$U$151,$A57),Scoring!$U$2:$U$151,0)))</f>
        <v/>
      </c>
      <c r="C57" s="3" t="str">
        <f aca="false">IF(LARGE(Scoring!$U$2:$U$151,$A57)&lt;0,"",INDEX(Tickers!$B$2:$B$151,MATCH(LARGE(Scoring!$U$2:$U$151,$A57),Scoring!$U$2:$U$151,0)))</f>
        <v/>
      </c>
      <c r="D57" s="3" t="str">
        <f aca="false">IF(LARGE(Scoring!$U$2:$U$151,$A57)&lt;0,"",INDEX(Tickers!$D$2:$D$151,MATCH(LARGE(Scoring!$U$2:$U$151,$A57),Scoring!$U$2:$U$151,0)))</f>
        <v/>
      </c>
      <c r="E57" s="3" t="str">
        <f aca="false">IF(LARGE(Scoring!$U$2:$U$151,$A57)&lt;0,"",INDEX(Tickers!$C$2:$C$151,MATCH(LARGE(Scoring!$U$2:$U$151,$A57),Scoring!$U$2:$U$151,0)))</f>
        <v/>
      </c>
      <c r="F57" s="5" t="str">
        <f aca="false">IF(LARGE(Scoring!$U$2:$U$151,$A57)&lt;0,"",INDEX(Scoring!$M$2:$M$151,MATCH(LARGE(Scoring!$U$2:$U$151,$A57),Scoring!$U$2:$U$151,0)))</f>
        <v/>
      </c>
      <c r="G57" s="3" t="str">
        <f aca="false">IF(LARGE(Scoring!$U$2:$U$151,$A57)&lt;0,"",INDEX(Scoring!$P$2:$P$151,MATCH(LARGE(Scoring!$U$2:$U$151,$A57),Scoring!$U$2:$U$151,0)))</f>
        <v/>
      </c>
      <c r="H57" s="3" t="str">
        <f aca="false">IF(LARGE(Scoring!$U$2:$U$151,$A57)&lt;0,"",INDEX(Scoring!$Q$2:$Q$151,MATCH(LARGE(Scoring!$U$2:$U$151,$A57),Scoring!$U$2:$U$151,0)))</f>
        <v/>
      </c>
      <c r="I57" s="12" t="str">
        <f aca="false">IF(LARGE(Scoring!$U$2:$U$151,$A57)&lt;0,"",INDEX(Scoring!$R$2:$R$151,MATCH(LARGE(Scoring!$U$2:$U$151,$A57),Scoring!$U$2:$U$151,0)))</f>
        <v/>
      </c>
      <c r="J57" s="3" t="str">
        <f aca="false">IF(LARGE(Scoring!$U$2:$U$151,$A57)&lt;0,"",INDEX(Scoring!$S$2:$S$151,MATCH(LARGE(Scoring!$U$2:$U$151,$A57),Scoring!$U$2:$U$151,0)))</f>
        <v/>
      </c>
      <c r="K57" s="20" t="str">
        <f aca="false">IF(LARGE(Scoring!$U$2:$U$151,$A57)&lt;0,"",INDEX(PriceMetrics!$B$2:$B$151,MATCH(LARGE(Scoring!$U$2:$U$151,$A57),Scoring!$U$2:$U$151,0)))</f>
        <v/>
      </c>
      <c r="L57" s="5" t="str">
        <f aca="false">IF(LARGE(Scoring!$U$2:$U$151,$A57)&lt;0,"",INDEX(Fundamentals!$C$2:$C$151,MATCH(LARGE(Scoring!$U$2:$U$151,$A57),Scoring!$U$2:$U$151,0)))</f>
        <v/>
      </c>
      <c r="M57" s="12" t="str">
        <f aca="false">IF(LARGE(Scoring!$U$2:$U$151,$A57)&lt;0,"",INDEX(Fundamentals!$F$2:$F$151,MATCH(LARGE(Scoring!$U$2:$U$151,$A57),Scoring!$U$2:$U$151,0)))</f>
        <v/>
      </c>
      <c r="N57" s="12" t="str">
        <f aca="false">IF(LARGE(Scoring!$U$2:$U$151,$A57)&lt;0,"",INDEX(PriceMetrics!$P$2:$P$151,MATCH(LARGE(Scoring!$U$2:$U$151,$A57),Scoring!$U$2:$U$151,0)))</f>
        <v/>
      </c>
    </row>
    <row r="58" customFormat="false" ht="15" hidden="false" customHeight="false" outlineLevel="0" collapsed="false">
      <c r="A58" s="3" t="n">
        <v>57</v>
      </c>
      <c r="B58" s="3" t="str">
        <f aca="false">IF(LARGE(Scoring!$U$2:$U$151,$A58)&lt;0,"",INDEX(Scoring!$A$2:$A$151,MATCH(LARGE(Scoring!$U$2:$U$151,$A58),Scoring!$U$2:$U$151,0)))</f>
        <v/>
      </c>
      <c r="C58" s="3" t="str">
        <f aca="false">IF(LARGE(Scoring!$U$2:$U$151,$A58)&lt;0,"",INDEX(Tickers!$B$2:$B$151,MATCH(LARGE(Scoring!$U$2:$U$151,$A58),Scoring!$U$2:$U$151,0)))</f>
        <v/>
      </c>
      <c r="D58" s="3" t="str">
        <f aca="false">IF(LARGE(Scoring!$U$2:$U$151,$A58)&lt;0,"",INDEX(Tickers!$D$2:$D$151,MATCH(LARGE(Scoring!$U$2:$U$151,$A58),Scoring!$U$2:$U$151,0)))</f>
        <v/>
      </c>
      <c r="E58" s="3" t="str">
        <f aca="false">IF(LARGE(Scoring!$U$2:$U$151,$A58)&lt;0,"",INDEX(Tickers!$C$2:$C$151,MATCH(LARGE(Scoring!$U$2:$U$151,$A58),Scoring!$U$2:$U$151,0)))</f>
        <v/>
      </c>
      <c r="F58" s="5" t="str">
        <f aca="false">IF(LARGE(Scoring!$U$2:$U$151,$A58)&lt;0,"",INDEX(Scoring!$M$2:$M$151,MATCH(LARGE(Scoring!$U$2:$U$151,$A58),Scoring!$U$2:$U$151,0)))</f>
        <v/>
      </c>
      <c r="G58" s="3" t="str">
        <f aca="false">IF(LARGE(Scoring!$U$2:$U$151,$A58)&lt;0,"",INDEX(Scoring!$P$2:$P$151,MATCH(LARGE(Scoring!$U$2:$U$151,$A58),Scoring!$U$2:$U$151,0)))</f>
        <v/>
      </c>
      <c r="H58" s="3" t="str">
        <f aca="false">IF(LARGE(Scoring!$U$2:$U$151,$A58)&lt;0,"",INDEX(Scoring!$Q$2:$Q$151,MATCH(LARGE(Scoring!$U$2:$U$151,$A58),Scoring!$U$2:$U$151,0)))</f>
        <v/>
      </c>
      <c r="I58" s="12" t="str">
        <f aca="false">IF(LARGE(Scoring!$U$2:$U$151,$A58)&lt;0,"",INDEX(Scoring!$R$2:$R$151,MATCH(LARGE(Scoring!$U$2:$U$151,$A58),Scoring!$U$2:$U$151,0)))</f>
        <v/>
      </c>
      <c r="J58" s="3" t="str">
        <f aca="false">IF(LARGE(Scoring!$U$2:$U$151,$A58)&lt;0,"",INDEX(Scoring!$S$2:$S$151,MATCH(LARGE(Scoring!$U$2:$U$151,$A58),Scoring!$U$2:$U$151,0)))</f>
        <v/>
      </c>
      <c r="K58" s="20" t="str">
        <f aca="false">IF(LARGE(Scoring!$U$2:$U$151,$A58)&lt;0,"",INDEX(PriceMetrics!$B$2:$B$151,MATCH(LARGE(Scoring!$U$2:$U$151,$A58),Scoring!$U$2:$U$151,0)))</f>
        <v/>
      </c>
      <c r="L58" s="5" t="str">
        <f aca="false">IF(LARGE(Scoring!$U$2:$U$151,$A58)&lt;0,"",INDEX(Fundamentals!$C$2:$C$151,MATCH(LARGE(Scoring!$U$2:$U$151,$A58),Scoring!$U$2:$U$151,0)))</f>
        <v/>
      </c>
      <c r="M58" s="12" t="str">
        <f aca="false">IF(LARGE(Scoring!$U$2:$U$151,$A58)&lt;0,"",INDEX(Fundamentals!$F$2:$F$151,MATCH(LARGE(Scoring!$U$2:$U$151,$A58),Scoring!$U$2:$U$151,0)))</f>
        <v/>
      </c>
      <c r="N58" s="12" t="str">
        <f aca="false">IF(LARGE(Scoring!$U$2:$U$151,$A58)&lt;0,"",INDEX(PriceMetrics!$P$2:$P$151,MATCH(LARGE(Scoring!$U$2:$U$151,$A58),Scoring!$U$2:$U$151,0)))</f>
        <v/>
      </c>
    </row>
    <row r="59" customFormat="false" ht="15" hidden="false" customHeight="false" outlineLevel="0" collapsed="false">
      <c r="A59" s="3" t="n">
        <v>58</v>
      </c>
      <c r="B59" s="3" t="str">
        <f aca="false">IF(LARGE(Scoring!$U$2:$U$151,$A59)&lt;0,"",INDEX(Scoring!$A$2:$A$151,MATCH(LARGE(Scoring!$U$2:$U$151,$A59),Scoring!$U$2:$U$151,0)))</f>
        <v/>
      </c>
      <c r="C59" s="3" t="str">
        <f aca="false">IF(LARGE(Scoring!$U$2:$U$151,$A59)&lt;0,"",INDEX(Tickers!$B$2:$B$151,MATCH(LARGE(Scoring!$U$2:$U$151,$A59),Scoring!$U$2:$U$151,0)))</f>
        <v/>
      </c>
      <c r="D59" s="3" t="str">
        <f aca="false">IF(LARGE(Scoring!$U$2:$U$151,$A59)&lt;0,"",INDEX(Tickers!$D$2:$D$151,MATCH(LARGE(Scoring!$U$2:$U$151,$A59),Scoring!$U$2:$U$151,0)))</f>
        <v/>
      </c>
      <c r="E59" s="3" t="str">
        <f aca="false">IF(LARGE(Scoring!$U$2:$U$151,$A59)&lt;0,"",INDEX(Tickers!$C$2:$C$151,MATCH(LARGE(Scoring!$U$2:$U$151,$A59),Scoring!$U$2:$U$151,0)))</f>
        <v/>
      </c>
      <c r="F59" s="5" t="str">
        <f aca="false">IF(LARGE(Scoring!$U$2:$U$151,$A59)&lt;0,"",INDEX(Scoring!$M$2:$M$151,MATCH(LARGE(Scoring!$U$2:$U$151,$A59),Scoring!$U$2:$U$151,0)))</f>
        <v/>
      </c>
      <c r="G59" s="3" t="str">
        <f aca="false">IF(LARGE(Scoring!$U$2:$U$151,$A59)&lt;0,"",INDEX(Scoring!$P$2:$P$151,MATCH(LARGE(Scoring!$U$2:$U$151,$A59),Scoring!$U$2:$U$151,0)))</f>
        <v/>
      </c>
      <c r="H59" s="3" t="str">
        <f aca="false">IF(LARGE(Scoring!$U$2:$U$151,$A59)&lt;0,"",INDEX(Scoring!$Q$2:$Q$151,MATCH(LARGE(Scoring!$U$2:$U$151,$A59),Scoring!$U$2:$U$151,0)))</f>
        <v/>
      </c>
      <c r="I59" s="12" t="str">
        <f aca="false">IF(LARGE(Scoring!$U$2:$U$151,$A59)&lt;0,"",INDEX(Scoring!$R$2:$R$151,MATCH(LARGE(Scoring!$U$2:$U$151,$A59),Scoring!$U$2:$U$151,0)))</f>
        <v/>
      </c>
      <c r="J59" s="3" t="str">
        <f aca="false">IF(LARGE(Scoring!$U$2:$U$151,$A59)&lt;0,"",INDEX(Scoring!$S$2:$S$151,MATCH(LARGE(Scoring!$U$2:$U$151,$A59),Scoring!$U$2:$U$151,0)))</f>
        <v/>
      </c>
      <c r="K59" s="20" t="str">
        <f aca="false">IF(LARGE(Scoring!$U$2:$U$151,$A59)&lt;0,"",INDEX(PriceMetrics!$B$2:$B$151,MATCH(LARGE(Scoring!$U$2:$U$151,$A59),Scoring!$U$2:$U$151,0)))</f>
        <v/>
      </c>
      <c r="L59" s="5" t="str">
        <f aca="false">IF(LARGE(Scoring!$U$2:$U$151,$A59)&lt;0,"",INDEX(Fundamentals!$C$2:$C$151,MATCH(LARGE(Scoring!$U$2:$U$151,$A59),Scoring!$U$2:$U$151,0)))</f>
        <v/>
      </c>
      <c r="M59" s="12" t="str">
        <f aca="false">IF(LARGE(Scoring!$U$2:$U$151,$A59)&lt;0,"",INDEX(Fundamentals!$F$2:$F$151,MATCH(LARGE(Scoring!$U$2:$U$151,$A59),Scoring!$U$2:$U$151,0)))</f>
        <v/>
      </c>
      <c r="N59" s="12" t="str">
        <f aca="false">IF(LARGE(Scoring!$U$2:$U$151,$A59)&lt;0,"",INDEX(PriceMetrics!$P$2:$P$151,MATCH(LARGE(Scoring!$U$2:$U$151,$A59),Scoring!$U$2:$U$151,0)))</f>
        <v/>
      </c>
    </row>
    <row r="60" customFormat="false" ht="15" hidden="false" customHeight="false" outlineLevel="0" collapsed="false">
      <c r="A60" s="3" t="n">
        <v>59</v>
      </c>
      <c r="B60" s="3" t="str">
        <f aca="false">IF(LARGE(Scoring!$U$2:$U$151,$A60)&lt;0,"",INDEX(Scoring!$A$2:$A$151,MATCH(LARGE(Scoring!$U$2:$U$151,$A60),Scoring!$U$2:$U$151,0)))</f>
        <v/>
      </c>
      <c r="C60" s="3" t="str">
        <f aca="false">IF(LARGE(Scoring!$U$2:$U$151,$A60)&lt;0,"",INDEX(Tickers!$B$2:$B$151,MATCH(LARGE(Scoring!$U$2:$U$151,$A60),Scoring!$U$2:$U$151,0)))</f>
        <v/>
      </c>
      <c r="D60" s="3" t="str">
        <f aca="false">IF(LARGE(Scoring!$U$2:$U$151,$A60)&lt;0,"",INDEX(Tickers!$D$2:$D$151,MATCH(LARGE(Scoring!$U$2:$U$151,$A60),Scoring!$U$2:$U$151,0)))</f>
        <v/>
      </c>
      <c r="E60" s="3" t="str">
        <f aca="false">IF(LARGE(Scoring!$U$2:$U$151,$A60)&lt;0,"",INDEX(Tickers!$C$2:$C$151,MATCH(LARGE(Scoring!$U$2:$U$151,$A60),Scoring!$U$2:$U$151,0)))</f>
        <v/>
      </c>
      <c r="F60" s="5" t="str">
        <f aca="false">IF(LARGE(Scoring!$U$2:$U$151,$A60)&lt;0,"",INDEX(Scoring!$M$2:$M$151,MATCH(LARGE(Scoring!$U$2:$U$151,$A60),Scoring!$U$2:$U$151,0)))</f>
        <v/>
      </c>
      <c r="G60" s="3" t="str">
        <f aca="false">IF(LARGE(Scoring!$U$2:$U$151,$A60)&lt;0,"",INDEX(Scoring!$P$2:$P$151,MATCH(LARGE(Scoring!$U$2:$U$151,$A60),Scoring!$U$2:$U$151,0)))</f>
        <v/>
      </c>
      <c r="H60" s="3" t="str">
        <f aca="false">IF(LARGE(Scoring!$U$2:$U$151,$A60)&lt;0,"",INDEX(Scoring!$Q$2:$Q$151,MATCH(LARGE(Scoring!$U$2:$U$151,$A60),Scoring!$U$2:$U$151,0)))</f>
        <v/>
      </c>
      <c r="I60" s="12" t="str">
        <f aca="false">IF(LARGE(Scoring!$U$2:$U$151,$A60)&lt;0,"",INDEX(Scoring!$R$2:$R$151,MATCH(LARGE(Scoring!$U$2:$U$151,$A60),Scoring!$U$2:$U$151,0)))</f>
        <v/>
      </c>
      <c r="J60" s="3" t="str">
        <f aca="false">IF(LARGE(Scoring!$U$2:$U$151,$A60)&lt;0,"",INDEX(Scoring!$S$2:$S$151,MATCH(LARGE(Scoring!$U$2:$U$151,$A60),Scoring!$U$2:$U$151,0)))</f>
        <v/>
      </c>
      <c r="K60" s="20" t="str">
        <f aca="false">IF(LARGE(Scoring!$U$2:$U$151,$A60)&lt;0,"",INDEX(PriceMetrics!$B$2:$B$151,MATCH(LARGE(Scoring!$U$2:$U$151,$A60),Scoring!$U$2:$U$151,0)))</f>
        <v/>
      </c>
      <c r="L60" s="5" t="str">
        <f aca="false">IF(LARGE(Scoring!$U$2:$U$151,$A60)&lt;0,"",INDEX(Fundamentals!$C$2:$C$151,MATCH(LARGE(Scoring!$U$2:$U$151,$A60),Scoring!$U$2:$U$151,0)))</f>
        <v/>
      </c>
      <c r="M60" s="12" t="str">
        <f aca="false">IF(LARGE(Scoring!$U$2:$U$151,$A60)&lt;0,"",INDEX(Fundamentals!$F$2:$F$151,MATCH(LARGE(Scoring!$U$2:$U$151,$A60),Scoring!$U$2:$U$151,0)))</f>
        <v/>
      </c>
      <c r="N60" s="12" t="str">
        <f aca="false">IF(LARGE(Scoring!$U$2:$U$151,$A60)&lt;0,"",INDEX(PriceMetrics!$P$2:$P$151,MATCH(LARGE(Scoring!$U$2:$U$151,$A60),Scoring!$U$2:$U$151,0)))</f>
        <v/>
      </c>
    </row>
    <row r="61" customFormat="false" ht="15" hidden="false" customHeight="false" outlineLevel="0" collapsed="false">
      <c r="A61" s="3" t="n">
        <v>60</v>
      </c>
      <c r="B61" s="3" t="str">
        <f aca="false">IF(LARGE(Scoring!$U$2:$U$151,$A61)&lt;0,"",INDEX(Scoring!$A$2:$A$151,MATCH(LARGE(Scoring!$U$2:$U$151,$A61),Scoring!$U$2:$U$151,0)))</f>
        <v/>
      </c>
      <c r="C61" s="3" t="str">
        <f aca="false">IF(LARGE(Scoring!$U$2:$U$151,$A61)&lt;0,"",INDEX(Tickers!$B$2:$B$151,MATCH(LARGE(Scoring!$U$2:$U$151,$A61),Scoring!$U$2:$U$151,0)))</f>
        <v/>
      </c>
      <c r="D61" s="3" t="str">
        <f aca="false">IF(LARGE(Scoring!$U$2:$U$151,$A61)&lt;0,"",INDEX(Tickers!$D$2:$D$151,MATCH(LARGE(Scoring!$U$2:$U$151,$A61),Scoring!$U$2:$U$151,0)))</f>
        <v/>
      </c>
      <c r="E61" s="3" t="str">
        <f aca="false">IF(LARGE(Scoring!$U$2:$U$151,$A61)&lt;0,"",INDEX(Tickers!$C$2:$C$151,MATCH(LARGE(Scoring!$U$2:$U$151,$A61),Scoring!$U$2:$U$151,0)))</f>
        <v/>
      </c>
      <c r="F61" s="5" t="str">
        <f aca="false">IF(LARGE(Scoring!$U$2:$U$151,$A61)&lt;0,"",INDEX(Scoring!$M$2:$M$151,MATCH(LARGE(Scoring!$U$2:$U$151,$A61),Scoring!$U$2:$U$151,0)))</f>
        <v/>
      </c>
      <c r="G61" s="3" t="str">
        <f aca="false">IF(LARGE(Scoring!$U$2:$U$151,$A61)&lt;0,"",INDEX(Scoring!$P$2:$P$151,MATCH(LARGE(Scoring!$U$2:$U$151,$A61),Scoring!$U$2:$U$151,0)))</f>
        <v/>
      </c>
      <c r="H61" s="3" t="str">
        <f aca="false">IF(LARGE(Scoring!$U$2:$U$151,$A61)&lt;0,"",INDEX(Scoring!$Q$2:$Q$151,MATCH(LARGE(Scoring!$U$2:$U$151,$A61),Scoring!$U$2:$U$151,0)))</f>
        <v/>
      </c>
      <c r="I61" s="12" t="str">
        <f aca="false">IF(LARGE(Scoring!$U$2:$U$151,$A61)&lt;0,"",INDEX(Scoring!$R$2:$R$151,MATCH(LARGE(Scoring!$U$2:$U$151,$A61),Scoring!$U$2:$U$151,0)))</f>
        <v/>
      </c>
      <c r="J61" s="3" t="str">
        <f aca="false">IF(LARGE(Scoring!$U$2:$U$151,$A61)&lt;0,"",INDEX(Scoring!$S$2:$S$151,MATCH(LARGE(Scoring!$U$2:$U$151,$A61),Scoring!$U$2:$U$151,0)))</f>
        <v/>
      </c>
      <c r="K61" s="20" t="str">
        <f aca="false">IF(LARGE(Scoring!$U$2:$U$151,$A61)&lt;0,"",INDEX(PriceMetrics!$B$2:$B$151,MATCH(LARGE(Scoring!$U$2:$U$151,$A61),Scoring!$U$2:$U$151,0)))</f>
        <v/>
      </c>
      <c r="L61" s="5" t="str">
        <f aca="false">IF(LARGE(Scoring!$U$2:$U$151,$A61)&lt;0,"",INDEX(Fundamentals!$C$2:$C$151,MATCH(LARGE(Scoring!$U$2:$U$151,$A61),Scoring!$U$2:$U$151,0)))</f>
        <v/>
      </c>
      <c r="M61" s="12" t="str">
        <f aca="false">IF(LARGE(Scoring!$U$2:$U$151,$A61)&lt;0,"",INDEX(Fundamentals!$F$2:$F$151,MATCH(LARGE(Scoring!$U$2:$U$151,$A61),Scoring!$U$2:$U$151,0)))</f>
        <v/>
      </c>
      <c r="N61" s="12" t="str">
        <f aca="false">IF(LARGE(Scoring!$U$2:$U$151,$A61)&lt;0,"",INDEX(PriceMetrics!$P$2:$P$151,MATCH(LARGE(Scoring!$U$2:$U$151,$A61),Scoring!$U$2:$U$151,0)))</f>
        <v/>
      </c>
    </row>
    <row r="62" customFormat="false" ht="15" hidden="false" customHeight="false" outlineLevel="0" collapsed="false">
      <c r="A62" s="3" t="n">
        <v>61</v>
      </c>
      <c r="B62" s="3" t="str">
        <f aca="false">IF(LARGE(Scoring!$U$2:$U$151,$A62)&lt;0,"",INDEX(Scoring!$A$2:$A$151,MATCH(LARGE(Scoring!$U$2:$U$151,$A62),Scoring!$U$2:$U$151,0)))</f>
        <v/>
      </c>
      <c r="C62" s="3" t="str">
        <f aca="false">IF(LARGE(Scoring!$U$2:$U$151,$A62)&lt;0,"",INDEX(Tickers!$B$2:$B$151,MATCH(LARGE(Scoring!$U$2:$U$151,$A62),Scoring!$U$2:$U$151,0)))</f>
        <v/>
      </c>
      <c r="D62" s="3" t="str">
        <f aca="false">IF(LARGE(Scoring!$U$2:$U$151,$A62)&lt;0,"",INDEX(Tickers!$D$2:$D$151,MATCH(LARGE(Scoring!$U$2:$U$151,$A62),Scoring!$U$2:$U$151,0)))</f>
        <v/>
      </c>
      <c r="E62" s="3" t="str">
        <f aca="false">IF(LARGE(Scoring!$U$2:$U$151,$A62)&lt;0,"",INDEX(Tickers!$C$2:$C$151,MATCH(LARGE(Scoring!$U$2:$U$151,$A62),Scoring!$U$2:$U$151,0)))</f>
        <v/>
      </c>
      <c r="F62" s="5" t="str">
        <f aca="false">IF(LARGE(Scoring!$U$2:$U$151,$A62)&lt;0,"",INDEX(Scoring!$M$2:$M$151,MATCH(LARGE(Scoring!$U$2:$U$151,$A62),Scoring!$U$2:$U$151,0)))</f>
        <v/>
      </c>
      <c r="G62" s="3" t="str">
        <f aca="false">IF(LARGE(Scoring!$U$2:$U$151,$A62)&lt;0,"",INDEX(Scoring!$P$2:$P$151,MATCH(LARGE(Scoring!$U$2:$U$151,$A62),Scoring!$U$2:$U$151,0)))</f>
        <v/>
      </c>
      <c r="H62" s="3" t="str">
        <f aca="false">IF(LARGE(Scoring!$U$2:$U$151,$A62)&lt;0,"",INDEX(Scoring!$Q$2:$Q$151,MATCH(LARGE(Scoring!$U$2:$U$151,$A62),Scoring!$U$2:$U$151,0)))</f>
        <v/>
      </c>
      <c r="I62" s="12" t="str">
        <f aca="false">IF(LARGE(Scoring!$U$2:$U$151,$A62)&lt;0,"",INDEX(Scoring!$R$2:$R$151,MATCH(LARGE(Scoring!$U$2:$U$151,$A62),Scoring!$U$2:$U$151,0)))</f>
        <v/>
      </c>
      <c r="J62" s="3" t="str">
        <f aca="false">IF(LARGE(Scoring!$U$2:$U$151,$A62)&lt;0,"",INDEX(Scoring!$S$2:$S$151,MATCH(LARGE(Scoring!$U$2:$U$151,$A62),Scoring!$U$2:$U$151,0)))</f>
        <v/>
      </c>
      <c r="K62" s="20" t="str">
        <f aca="false">IF(LARGE(Scoring!$U$2:$U$151,$A62)&lt;0,"",INDEX(PriceMetrics!$B$2:$B$151,MATCH(LARGE(Scoring!$U$2:$U$151,$A62),Scoring!$U$2:$U$151,0)))</f>
        <v/>
      </c>
      <c r="L62" s="5" t="str">
        <f aca="false">IF(LARGE(Scoring!$U$2:$U$151,$A62)&lt;0,"",INDEX(Fundamentals!$C$2:$C$151,MATCH(LARGE(Scoring!$U$2:$U$151,$A62),Scoring!$U$2:$U$151,0)))</f>
        <v/>
      </c>
      <c r="M62" s="12" t="str">
        <f aca="false">IF(LARGE(Scoring!$U$2:$U$151,$A62)&lt;0,"",INDEX(Fundamentals!$F$2:$F$151,MATCH(LARGE(Scoring!$U$2:$U$151,$A62),Scoring!$U$2:$U$151,0)))</f>
        <v/>
      </c>
      <c r="N62" s="12" t="str">
        <f aca="false">IF(LARGE(Scoring!$U$2:$U$151,$A62)&lt;0,"",INDEX(PriceMetrics!$P$2:$P$151,MATCH(LARGE(Scoring!$U$2:$U$151,$A62),Scoring!$U$2:$U$151,0)))</f>
        <v/>
      </c>
    </row>
    <row r="63" customFormat="false" ht="15" hidden="false" customHeight="false" outlineLevel="0" collapsed="false">
      <c r="A63" s="3" t="n">
        <v>62</v>
      </c>
      <c r="B63" s="3" t="str">
        <f aca="false">IF(LARGE(Scoring!$U$2:$U$151,$A63)&lt;0,"",INDEX(Scoring!$A$2:$A$151,MATCH(LARGE(Scoring!$U$2:$U$151,$A63),Scoring!$U$2:$U$151,0)))</f>
        <v/>
      </c>
      <c r="C63" s="3" t="str">
        <f aca="false">IF(LARGE(Scoring!$U$2:$U$151,$A63)&lt;0,"",INDEX(Tickers!$B$2:$B$151,MATCH(LARGE(Scoring!$U$2:$U$151,$A63),Scoring!$U$2:$U$151,0)))</f>
        <v/>
      </c>
      <c r="D63" s="3" t="str">
        <f aca="false">IF(LARGE(Scoring!$U$2:$U$151,$A63)&lt;0,"",INDEX(Tickers!$D$2:$D$151,MATCH(LARGE(Scoring!$U$2:$U$151,$A63),Scoring!$U$2:$U$151,0)))</f>
        <v/>
      </c>
      <c r="E63" s="3" t="str">
        <f aca="false">IF(LARGE(Scoring!$U$2:$U$151,$A63)&lt;0,"",INDEX(Tickers!$C$2:$C$151,MATCH(LARGE(Scoring!$U$2:$U$151,$A63),Scoring!$U$2:$U$151,0)))</f>
        <v/>
      </c>
      <c r="F63" s="5" t="str">
        <f aca="false">IF(LARGE(Scoring!$U$2:$U$151,$A63)&lt;0,"",INDEX(Scoring!$M$2:$M$151,MATCH(LARGE(Scoring!$U$2:$U$151,$A63),Scoring!$U$2:$U$151,0)))</f>
        <v/>
      </c>
      <c r="G63" s="3" t="str">
        <f aca="false">IF(LARGE(Scoring!$U$2:$U$151,$A63)&lt;0,"",INDEX(Scoring!$P$2:$P$151,MATCH(LARGE(Scoring!$U$2:$U$151,$A63),Scoring!$U$2:$U$151,0)))</f>
        <v/>
      </c>
      <c r="H63" s="3" t="str">
        <f aca="false">IF(LARGE(Scoring!$U$2:$U$151,$A63)&lt;0,"",INDEX(Scoring!$Q$2:$Q$151,MATCH(LARGE(Scoring!$U$2:$U$151,$A63),Scoring!$U$2:$U$151,0)))</f>
        <v/>
      </c>
      <c r="I63" s="12" t="str">
        <f aca="false">IF(LARGE(Scoring!$U$2:$U$151,$A63)&lt;0,"",INDEX(Scoring!$R$2:$R$151,MATCH(LARGE(Scoring!$U$2:$U$151,$A63),Scoring!$U$2:$U$151,0)))</f>
        <v/>
      </c>
      <c r="J63" s="3" t="str">
        <f aca="false">IF(LARGE(Scoring!$U$2:$U$151,$A63)&lt;0,"",INDEX(Scoring!$S$2:$S$151,MATCH(LARGE(Scoring!$U$2:$U$151,$A63),Scoring!$U$2:$U$151,0)))</f>
        <v/>
      </c>
      <c r="K63" s="20" t="str">
        <f aca="false">IF(LARGE(Scoring!$U$2:$U$151,$A63)&lt;0,"",INDEX(PriceMetrics!$B$2:$B$151,MATCH(LARGE(Scoring!$U$2:$U$151,$A63),Scoring!$U$2:$U$151,0)))</f>
        <v/>
      </c>
      <c r="L63" s="5" t="str">
        <f aca="false">IF(LARGE(Scoring!$U$2:$U$151,$A63)&lt;0,"",INDEX(Fundamentals!$C$2:$C$151,MATCH(LARGE(Scoring!$U$2:$U$151,$A63),Scoring!$U$2:$U$151,0)))</f>
        <v/>
      </c>
      <c r="M63" s="12" t="str">
        <f aca="false">IF(LARGE(Scoring!$U$2:$U$151,$A63)&lt;0,"",INDEX(Fundamentals!$F$2:$F$151,MATCH(LARGE(Scoring!$U$2:$U$151,$A63),Scoring!$U$2:$U$151,0)))</f>
        <v/>
      </c>
      <c r="N63" s="12" t="str">
        <f aca="false">IF(LARGE(Scoring!$U$2:$U$151,$A63)&lt;0,"",INDEX(PriceMetrics!$P$2:$P$151,MATCH(LARGE(Scoring!$U$2:$U$151,$A63),Scoring!$U$2:$U$151,0)))</f>
        <v/>
      </c>
    </row>
    <row r="64" customFormat="false" ht="15" hidden="false" customHeight="false" outlineLevel="0" collapsed="false">
      <c r="A64" s="3" t="n">
        <v>63</v>
      </c>
      <c r="B64" s="3" t="str">
        <f aca="false">IF(LARGE(Scoring!$U$2:$U$151,$A64)&lt;0,"",INDEX(Scoring!$A$2:$A$151,MATCH(LARGE(Scoring!$U$2:$U$151,$A64),Scoring!$U$2:$U$151,0)))</f>
        <v/>
      </c>
      <c r="C64" s="3" t="str">
        <f aca="false">IF(LARGE(Scoring!$U$2:$U$151,$A64)&lt;0,"",INDEX(Tickers!$B$2:$B$151,MATCH(LARGE(Scoring!$U$2:$U$151,$A64),Scoring!$U$2:$U$151,0)))</f>
        <v/>
      </c>
      <c r="D64" s="3" t="str">
        <f aca="false">IF(LARGE(Scoring!$U$2:$U$151,$A64)&lt;0,"",INDEX(Tickers!$D$2:$D$151,MATCH(LARGE(Scoring!$U$2:$U$151,$A64),Scoring!$U$2:$U$151,0)))</f>
        <v/>
      </c>
      <c r="E64" s="3" t="str">
        <f aca="false">IF(LARGE(Scoring!$U$2:$U$151,$A64)&lt;0,"",INDEX(Tickers!$C$2:$C$151,MATCH(LARGE(Scoring!$U$2:$U$151,$A64),Scoring!$U$2:$U$151,0)))</f>
        <v/>
      </c>
      <c r="F64" s="5" t="str">
        <f aca="false">IF(LARGE(Scoring!$U$2:$U$151,$A64)&lt;0,"",INDEX(Scoring!$M$2:$M$151,MATCH(LARGE(Scoring!$U$2:$U$151,$A64),Scoring!$U$2:$U$151,0)))</f>
        <v/>
      </c>
      <c r="G64" s="3" t="str">
        <f aca="false">IF(LARGE(Scoring!$U$2:$U$151,$A64)&lt;0,"",INDEX(Scoring!$P$2:$P$151,MATCH(LARGE(Scoring!$U$2:$U$151,$A64),Scoring!$U$2:$U$151,0)))</f>
        <v/>
      </c>
      <c r="H64" s="3" t="str">
        <f aca="false">IF(LARGE(Scoring!$U$2:$U$151,$A64)&lt;0,"",INDEX(Scoring!$Q$2:$Q$151,MATCH(LARGE(Scoring!$U$2:$U$151,$A64),Scoring!$U$2:$U$151,0)))</f>
        <v/>
      </c>
      <c r="I64" s="12" t="str">
        <f aca="false">IF(LARGE(Scoring!$U$2:$U$151,$A64)&lt;0,"",INDEX(Scoring!$R$2:$R$151,MATCH(LARGE(Scoring!$U$2:$U$151,$A64),Scoring!$U$2:$U$151,0)))</f>
        <v/>
      </c>
      <c r="J64" s="3" t="str">
        <f aca="false">IF(LARGE(Scoring!$U$2:$U$151,$A64)&lt;0,"",INDEX(Scoring!$S$2:$S$151,MATCH(LARGE(Scoring!$U$2:$U$151,$A64),Scoring!$U$2:$U$151,0)))</f>
        <v/>
      </c>
      <c r="K64" s="20" t="str">
        <f aca="false">IF(LARGE(Scoring!$U$2:$U$151,$A64)&lt;0,"",INDEX(PriceMetrics!$B$2:$B$151,MATCH(LARGE(Scoring!$U$2:$U$151,$A64),Scoring!$U$2:$U$151,0)))</f>
        <v/>
      </c>
      <c r="L64" s="5" t="str">
        <f aca="false">IF(LARGE(Scoring!$U$2:$U$151,$A64)&lt;0,"",INDEX(Fundamentals!$C$2:$C$151,MATCH(LARGE(Scoring!$U$2:$U$151,$A64),Scoring!$U$2:$U$151,0)))</f>
        <v/>
      </c>
      <c r="M64" s="12" t="str">
        <f aca="false">IF(LARGE(Scoring!$U$2:$U$151,$A64)&lt;0,"",INDEX(Fundamentals!$F$2:$F$151,MATCH(LARGE(Scoring!$U$2:$U$151,$A64),Scoring!$U$2:$U$151,0)))</f>
        <v/>
      </c>
      <c r="N64" s="12" t="str">
        <f aca="false">IF(LARGE(Scoring!$U$2:$U$151,$A64)&lt;0,"",INDEX(PriceMetrics!$P$2:$P$151,MATCH(LARGE(Scoring!$U$2:$U$151,$A64),Scoring!$U$2:$U$151,0)))</f>
        <v/>
      </c>
    </row>
    <row r="65" customFormat="false" ht="15" hidden="false" customHeight="false" outlineLevel="0" collapsed="false">
      <c r="A65" s="3" t="n">
        <v>64</v>
      </c>
      <c r="B65" s="3" t="str">
        <f aca="false">IF(LARGE(Scoring!$U$2:$U$151,$A65)&lt;0,"",INDEX(Scoring!$A$2:$A$151,MATCH(LARGE(Scoring!$U$2:$U$151,$A65),Scoring!$U$2:$U$151,0)))</f>
        <v/>
      </c>
      <c r="C65" s="3" t="str">
        <f aca="false">IF(LARGE(Scoring!$U$2:$U$151,$A65)&lt;0,"",INDEX(Tickers!$B$2:$B$151,MATCH(LARGE(Scoring!$U$2:$U$151,$A65),Scoring!$U$2:$U$151,0)))</f>
        <v/>
      </c>
      <c r="D65" s="3" t="str">
        <f aca="false">IF(LARGE(Scoring!$U$2:$U$151,$A65)&lt;0,"",INDEX(Tickers!$D$2:$D$151,MATCH(LARGE(Scoring!$U$2:$U$151,$A65),Scoring!$U$2:$U$151,0)))</f>
        <v/>
      </c>
      <c r="E65" s="3" t="str">
        <f aca="false">IF(LARGE(Scoring!$U$2:$U$151,$A65)&lt;0,"",INDEX(Tickers!$C$2:$C$151,MATCH(LARGE(Scoring!$U$2:$U$151,$A65),Scoring!$U$2:$U$151,0)))</f>
        <v/>
      </c>
      <c r="F65" s="5" t="str">
        <f aca="false">IF(LARGE(Scoring!$U$2:$U$151,$A65)&lt;0,"",INDEX(Scoring!$M$2:$M$151,MATCH(LARGE(Scoring!$U$2:$U$151,$A65),Scoring!$U$2:$U$151,0)))</f>
        <v/>
      </c>
      <c r="G65" s="3" t="str">
        <f aca="false">IF(LARGE(Scoring!$U$2:$U$151,$A65)&lt;0,"",INDEX(Scoring!$P$2:$P$151,MATCH(LARGE(Scoring!$U$2:$U$151,$A65),Scoring!$U$2:$U$151,0)))</f>
        <v/>
      </c>
      <c r="H65" s="3" t="str">
        <f aca="false">IF(LARGE(Scoring!$U$2:$U$151,$A65)&lt;0,"",INDEX(Scoring!$Q$2:$Q$151,MATCH(LARGE(Scoring!$U$2:$U$151,$A65),Scoring!$U$2:$U$151,0)))</f>
        <v/>
      </c>
      <c r="I65" s="12" t="str">
        <f aca="false">IF(LARGE(Scoring!$U$2:$U$151,$A65)&lt;0,"",INDEX(Scoring!$R$2:$R$151,MATCH(LARGE(Scoring!$U$2:$U$151,$A65),Scoring!$U$2:$U$151,0)))</f>
        <v/>
      </c>
      <c r="J65" s="3" t="str">
        <f aca="false">IF(LARGE(Scoring!$U$2:$U$151,$A65)&lt;0,"",INDEX(Scoring!$S$2:$S$151,MATCH(LARGE(Scoring!$U$2:$U$151,$A65),Scoring!$U$2:$U$151,0)))</f>
        <v/>
      </c>
      <c r="K65" s="20" t="str">
        <f aca="false">IF(LARGE(Scoring!$U$2:$U$151,$A65)&lt;0,"",INDEX(PriceMetrics!$B$2:$B$151,MATCH(LARGE(Scoring!$U$2:$U$151,$A65),Scoring!$U$2:$U$151,0)))</f>
        <v/>
      </c>
      <c r="L65" s="5" t="str">
        <f aca="false">IF(LARGE(Scoring!$U$2:$U$151,$A65)&lt;0,"",INDEX(Fundamentals!$C$2:$C$151,MATCH(LARGE(Scoring!$U$2:$U$151,$A65),Scoring!$U$2:$U$151,0)))</f>
        <v/>
      </c>
      <c r="M65" s="12" t="str">
        <f aca="false">IF(LARGE(Scoring!$U$2:$U$151,$A65)&lt;0,"",INDEX(Fundamentals!$F$2:$F$151,MATCH(LARGE(Scoring!$U$2:$U$151,$A65),Scoring!$U$2:$U$151,0)))</f>
        <v/>
      </c>
      <c r="N65" s="12" t="str">
        <f aca="false">IF(LARGE(Scoring!$U$2:$U$151,$A65)&lt;0,"",INDEX(PriceMetrics!$P$2:$P$151,MATCH(LARGE(Scoring!$U$2:$U$151,$A65),Scoring!$U$2:$U$151,0)))</f>
        <v/>
      </c>
    </row>
    <row r="66" customFormat="false" ht="15" hidden="false" customHeight="false" outlineLevel="0" collapsed="false">
      <c r="A66" s="3" t="n">
        <v>65</v>
      </c>
      <c r="B66" s="3" t="str">
        <f aca="false">IF(LARGE(Scoring!$U$2:$U$151,$A66)&lt;0,"",INDEX(Scoring!$A$2:$A$151,MATCH(LARGE(Scoring!$U$2:$U$151,$A66),Scoring!$U$2:$U$151,0)))</f>
        <v/>
      </c>
      <c r="C66" s="3" t="str">
        <f aca="false">IF(LARGE(Scoring!$U$2:$U$151,$A66)&lt;0,"",INDEX(Tickers!$B$2:$B$151,MATCH(LARGE(Scoring!$U$2:$U$151,$A66),Scoring!$U$2:$U$151,0)))</f>
        <v/>
      </c>
      <c r="D66" s="3" t="str">
        <f aca="false">IF(LARGE(Scoring!$U$2:$U$151,$A66)&lt;0,"",INDEX(Tickers!$D$2:$D$151,MATCH(LARGE(Scoring!$U$2:$U$151,$A66),Scoring!$U$2:$U$151,0)))</f>
        <v/>
      </c>
      <c r="E66" s="3" t="str">
        <f aca="false">IF(LARGE(Scoring!$U$2:$U$151,$A66)&lt;0,"",INDEX(Tickers!$C$2:$C$151,MATCH(LARGE(Scoring!$U$2:$U$151,$A66),Scoring!$U$2:$U$151,0)))</f>
        <v/>
      </c>
      <c r="F66" s="5" t="str">
        <f aca="false">IF(LARGE(Scoring!$U$2:$U$151,$A66)&lt;0,"",INDEX(Scoring!$M$2:$M$151,MATCH(LARGE(Scoring!$U$2:$U$151,$A66),Scoring!$U$2:$U$151,0)))</f>
        <v/>
      </c>
      <c r="G66" s="3" t="str">
        <f aca="false">IF(LARGE(Scoring!$U$2:$U$151,$A66)&lt;0,"",INDEX(Scoring!$P$2:$P$151,MATCH(LARGE(Scoring!$U$2:$U$151,$A66),Scoring!$U$2:$U$151,0)))</f>
        <v/>
      </c>
      <c r="H66" s="3" t="str">
        <f aca="false">IF(LARGE(Scoring!$U$2:$U$151,$A66)&lt;0,"",INDEX(Scoring!$Q$2:$Q$151,MATCH(LARGE(Scoring!$U$2:$U$151,$A66),Scoring!$U$2:$U$151,0)))</f>
        <v/>
      </c>
      <c r="I66" s="12" t="str">
        <f aca="false">IF(LARGE(Scoring!$U$2:$U$151,$A66)&lt;0,"",INDEX(Scoring!$R$2:$R$151,MATCH(LARGE(Scoring!$U$2:$U$151,$A66),Scoring!$U$2:$U$151,0)))</f>
        <v/>
      </c>
      <c r="J66" s="3" t="str">
        <f aca="false">IF(LARGE(Scoring!$U$2:$U$151,$A66)&lt;0,"",INDEX(Scoring!$S$2:$S$151,MATCH(LARGE(Scoring!$U$2:$U$151,$A66),Scoring!$U$2:$U$151,0)))</f>
        <v/>
      </c>
      <c r="K66" s="20" t="str">
        <f aca="false">IF(LARGE(Scoring!$U$2:$U$151,$A66)&lt;0,"",INDEX(PriceMetrics!$B$2:$B$151,MATCH(LARGE(Scoring!$U$2:$U$151,$A66),Scoring!$U$2:$U$151,0)))</f>
        <v/>
      </c>
      <c r="L66" s="5" t="str">
        <f aca="false">IF(LARGE(Scoring!$U$2:$U$151,$A66)&lt;0,"",INDEX(Fundamentals!$C$2:$C$151,MATCH(LARGE(Scoring!$U$2:$U$151,$A66),Scoring!$U$2:$U$151,0)))</f>
        <v/>
      </c>
      <c r="M66" s="12" t="str">
        <f aca="false">IF(LARGE(Scoring!$U$2:$U$151,$A66)&lt;0,"",INDEX(Fundamentals!$F$2:$F$151,MATCH(LARGE(Scoring!$U$2:$U$151,$A66),Scoring!$U$2:$U$151,0)))</f>
        <v/>
      </c>
      <c r="N66" s="12" t="str">
        <f aca="false">IF(LARGE(Scoring!$U$2:$U$151,$A66)&lt;0,"",INDEX(PriceMetrics!$P$2:$P$151,MATCH(LARGE(Scoring!$U$2:$U$151,$A66),Scoring!$U$2:$U$151,0)))</f>
        <v/>
      </c>
    </row>
    <row r="67" customFormat="false" ht="15" hidden="false" customHeight="false" outlineLevel="0" collapsed="false">
      <c r="A67" s="3" t="n">
        <v>66</v>
      </c>
      <c r="B67" s="3" t="str">
        <f aca="false">IF(LARGE(Scoring!$U$2:$U$151,$A67)&lt;0,"",INDEX(Scoring!$A$2:$A$151,MATCH(LARGE(Scoring!$U$2:$U$151,$A67),Scoring!$U$2:$U$151,0)))</f>
        <v/>
      </c>
      <c r="C67" s="3" t="str">
        <f aca="false">IF(LARGE(Scoring!$U$2:$U$151,$A67)&lt;0,"",INDEX(Tickers!$B$2:$B$151,MATCH(LARGE(Scoring!$U$2:$U$151,$A67),Scoring!$U$2:$U$151,0)))</f>
        <v/>
      </c>
      <c r="D67" s="3" t="str">
        <f aca="false">IF(LARGE(Scoring!$U$2:$U$151,$A67)&lt;0,"",INDEX(Tickers!$D$2:$D$151,MATCH(LARGE(Scoring!$U$2:$U$151,$A67),Scoring!$U$2:$U$151,0)))</f>
        <v/>
      </c>
      <c r="E67" s="3" t="str">
        <f aca="false">IF(LARGE(Scoring!$U$2:$U$151,$A67)&lt;0,"",INDEX(Tickers!$C$2:$C$151,MATCH(LARGE(Scoring!$U$2:$U$151,$A67),Scoring!$U$2:$U$151,0)))</f>
        <v/>
      </c>
      <c r="F67" s="5" t="str">
        <f aca="false">IF(LARGE(Scoring!$U$2:$U$151,$A67)&lt;0,"",INDEX(Scoring!$M$2:$M$151,MATCH(LARGE(Scoring!$U$2:$U$151,$A67),Scoring!$U$2:$U$151,0)))</f>
        <v/>
      </c>
      <c r="G67" s="3" t="str">
        <f aca="false">IF(LARGE(Scoring!$U$2:$U$151,$A67)&lt;0,"",INDEX(Scoring!$P$2:$P$151,MATCH(LARGE(Scoring!$U$2:$U$151,$A67),Scoring!$U$2:$U$151,0)))</f>
        <v/>
      </c>
      <c r="H67" s="3" t="str">
        <f aca="false">IF(LARGE(Scoring!$U$2:$U$151,$A67)&lt;0,"",INDEX(Scoring!$Q$2:$Q$151,MATCH(LARGE(Scoring!$U$2:$U$151,$A67),Scoring!$U$2:$U$151,0)))</f>
        <v/>
      </c>
      <c r="I67" s="12" t="str">
        <f aca="false">IF(LARGE(Scoring!$U$2:$U$151,$A67)&lt;0,"",INDEX(Scoring!$R$2:$R$151,MATCH(LARGE(Scoring!$U$2:$U$151,$A67),Scoring!$U$2:$U$151,0)))</f>
        <v/>
      </c>
      <c r="J67" s="3" t="str">
        <f aca="false">IF(LARGE(Scoring!$U$2:$U$151,$A67)&lt;0,"",INDEX(Scoring!$S$2:$S$151,MATCH(LARGE(Scoring!$U$2:$U$151,$A67),Scoring!$U$2:$U$151,0)))</f>
        <v/>
      </c>
      <c r="K67" s="20" t="str">
        <f aca="false">IF(LARGE(Scoring!$U$2:$U$151,$A67)&lt;0,"",INDEX(PriceMetrics!$B$2:$B$151,MATCH(LARGE(Scoring!$U$2:$U$151,$A67),Scoring!$U$2:$U$151,0)))</f>
        <v/>
      </c>
      <c r="L67" s="5" t="str">
        <f aca="false">IF(LARGE(Scoring!$U$2:$U$151,$A67)&lt;0,"",INDEX(Fundamentals!$C$2:$C$151,MATCH(LARGE(Scoring!$U$2:$U$151,$A67),Scoring!$U$2:$U$151,0)))</f>
        <v/>
      </c>
      <c r="M67" s="12" t="str">
        <f aca="false">IF(LARGE(Scoring!$U$2:$U$151,$A67)&lt;0,"",INDEX(Fundamentals!$F$2:$F$151,MATCH(LARGE(Scoring!$U$2:$U$151,$A67),Scoring!$U$2:$U$151,0)))</f>
        <v/>
      </c>
      <c r="N67" s="12" t="str">
        <f aca="false">IF(LARGE(Scoring!$U$2:$U$151,$A67)&lt;0,"",INDEX(PriceMetrics!$P$2:$P$151,MATCH(LARGE(Scoring!$U$2:$U$151,$A67),Scoring!$U$2:$U$151,0)))</f>
        <v/>
      </c>
    </row>
    <row r="68" customFormat="false" ht="15" hidden="false" customHeight="false" outlineLevel="0" collapsed="false">
      <c r="A68" s="3" t="n">
        <v>67</v>
      </c>
      <c r="B68" s="3" t="str">
        <f aca="false">IF(LARGE(Scoring!$U$2:$U$151,$A68)&lt;0,"",INDEX(Scoring!$A$2:$A$151,MATCH(LARGE(Scoring!$U$2:$U$151,$A68),Scoring!$U$2:$U$151,0)))</f>
        <v/>
      </c>
      <c r="C68" s="3" t="str">
        <f aca="false">IF(LARGE(Scoring!$U$2:$U$151,$A68)&lt;0,"",INDEX(Tickers!$B$2:$B$151,MATCH(LARGE(Scoring!$U$2:$U$151,$A68),Scoring!$U$2:$U$151,0)))</f>
        <v/>
      </c>
      <c r="D68" s="3" t="str">
        <f aca="false">IF(LARGE(Scoring!$U$2:$U$151,$A68)&lt;0,"",INDEX(Tickers!$D$2:$D$151,MATCH(LARGE(Scoring!$U$2:$U$151,$A68),Scoring!$U$2:$U$151,0)))</f>
        <v/>
      </c>
      <c r="E68" s="3" t="str">
        <f aca="false">IF(LARGE(Scoring!$U$2:$U$151,$A68)&lt;0,"",INDEX(Tickers!$C$2:$C$151,MATCH(LARGE(Scoring!$U$2:$U$151,$A68),Scoring!$U$2:$U$151,0)))</f>
        <v/>
      </c>
      <c r="F68" s="5" t="str">
        <f aca="false">IF(LARGE(Scoring!$U$2:$U$151,$A68)&lt;0,"",INDEX(Scoring!$M$2:$M$151,MATCH(LARGE(Scoring!$U$2:$U$151,$A68),Scoring!$U$2:$U$151,0)))</f>
        <v/>
      </c>
      <c r="G68" s="3" t="str">
        <f aca="false">IF(LARGE(Scoring!$U$2:$U$151,$A68)&lt;0,"",INDEX(Scoring!$P$2:$P$151,MATCH(LARGE(Scoring!$U$2:$U$151,$A68),Scoring!$U$2:$U$151,0)))</f>
        <v/>
      </c>
      <c r="H68" s="3" t="str">
        <f aca="false">IF(LARGE(Scoring!$U$2:$U$151,$A68)&lt;0,"",INDEX(Scoring!$Q$2:$Q$151,MATCH(LARGE(Scoring!$U$2:$U$151,$A68),Scoring!$U$2:$U$151,0)))</f>
        <v/>
      </c>
      <c r="I68" s="12" t="str">
        <f aca="false">IF(LARGE(Scoring!$U$2:$U$151,$A68)&lt;0,"",INDEX(Scoring!$R$2:$R$151,MATCH(LARGE(Scoring!$U$2:$U$151,$A68),Scoring!$U$2:$U$151,0)))</f>
        <v/>
      </c>
      <c r="J68" s="3" t="str">
        <f aca="false">IF(LARGE(Scoring!$U$2:$U$151,$A68)&lt;0,"",INDEX(Scoring!$S$2:$S$151,MATCH(LARGE(Scoring!$U$2:$U$151,$A68),Scoring!$U$2:$U$151,0)))</f>
        <v/>
      </c>
      <c r="K68" s="20" t="str">
        <f aca="false">IF(LARGE(Scoring!$U$2:$U$151,$A68)&lt;0,"",INDEX(PriceMetrics!$B$2:$B$151,MATCH(LARGE(Scoring!$U$2:$U$151,$A68),Scoring!$U$2:$U$151,0)))</f>
        <v/>
      </c>
      <c r="L68" s="5" t="str">
        <f aca="false">IF(LARGE(Scoring!$U$2:$U$151,$A68)&lt;0,"",INDEX(Fundamentals!$C$2:$C$151,MATCH(LARGE(Scoring!$U$2:$U$151,$A68),Scoring!$U$2:$U$151,0)))</f>
        <v/>
      </c>
      <c r="M68" s="12" t="str">
        <f aca="false">IF(LARGE(Scoring!$U$2:$U$151,$A68)&lt;0,"",INDEX(Fundamentals!$F$2:$F$151,MATCH(LARGE(Scoring!$U$2:$U$151,$A68),Scoring!$U$2:$U$151,0)))</f>
        <v/>
      </c>
      <c r="N68" s="12" t="str">
        <f aca="false">IF(LARGE(Scoring!$U$2:$U$151,$A68)&lt;0,"",INDEX(PriceMetrics!$P$2:$P$151,MATCH(LARGE(Scoring!$U$2:$U$151,$A68),Scoring!$U$2:$U$151,0)))</f>
        <v/>
      </c>
    </row>
    <row r="69" customFormat="false" ht="15" hidden="false" customHeight="false" outlineLevel="0" collapsed="false">
      <c r="A69" s="3" t="n">
        <v>68</v>
      </c>
      <c r="B69" s="3" t="str">
        <f aca="false">IF(LARGE(Scoring!$U$2:$U$151,$A69)&lt;0,"",INDEX(Scoring!$A$2:$A$151,MATCH(LARGE(Scoring!$U$2:$U$151,$A69),Scoring!$U$2:$U$151,0)))</f>
        <v/>
      </c>
      <c r="C69" s="3" t="str">
        <f aca="false">IF(LARGE(Scoring!$U$2:$U$151,$A69)&lt;0,"",INDEX(Tickers!$B$2:$B$151,MATCH(LARGE(Scoring!$U$2:$U$151,$A69),Scoring!$U$2:$U$151,0)))</f>
        <v/>
      </c>
      <c r="D69" s="3" t="str">
        <f aca="false">IF(LARGE(Scoring!$U$2:$U$151,$A69)&lt;0,"",INDEX(Tickers!$D$2:$D$151,MATCH(LARGE(Scoring!$U$2:$U$151,$A69),Scoring!$U$2:$U$151,0)))</f>
        <v/>
      </c>
      <c r="E69" s="3" t="str">
        <f aca="false">IF(LARGE(Scoring!$U$2:$U$151,$A69)&lt;0,"",INDEX(Tickers!$C$2:$C$151,MATCH(LARGE(Scoring!$U$2:$U$151,$A69),Scoring!$U$2:$U$151,0)))</f>
        <v/>
      </c>
      <c r="F69" s="5" t="str">
        <f aca="false">IF(LARGE(Scoring!$U$2:$U$151,$A69)&lt;0,"",INDEX(Scoring!$M$2:$M$151,MATCH(LARGE(Scoring!$U$2:$U$151,$A69),Scoring!$U$2:$U$151,0)))</f>
        <v/>
      </c>
      <c r="G69" s="3" t="str">
        <f aca="false">IF(LARGE(Scoring!$U$2:$U$151,$A69)&lt;0,"",INDEX(Scoring!$P$2:$P$151,MATCH(LARGE(Scoring!$U$2:$U$151,$A69),Scoring!$U$2:$U$151,0)))</f>
        <v/>
      </c>
      <c r="H69" s="3" t="str">
        <f aca="false">IF(LARGE(Scoring!$U$2:$U$151,$A69)&lt;0,"",INDEX(Scoring!$Q$2:$Q$151,MATCH(LARGE(Scoring!$U$2:$U$151,$A69),Scoring!$U$2:$U$151,0)))</f>
        <v/>
      </c>
      <c r="I69" s="12" t="str">
        <f aca="false">IF(LARGE(Scoring!$U$2:$U$151,$A69)&lt;0,"",INDEX(Scoring!$R$2:$R$151,MATCH(LARGE(Scoring!$U$2:$U$151,$A69),Scoring!$U$2:$U$151,0)))</f>
        <v/>
      </c>
      <c r="J69" s="3" t="str">
        <f aca="false">IF(LARGE(Scoring!$U$2:$U$151,$A69)&lt;0,"",INDEX(Scoring!$S$2:$S$151,MATCH(LARGE(Scoring!$U$2:$U$151,$A69),Scoring!$U$2:$U$151,0)))</f>
        <v/>
      </c>
      <c r="K69" s="20" t="str">
        <f aca="false">IF(LARGE(Scoring!$U$2:$U$151,$A69)&lt;0,"",INDEX(PriceMetrics!$B$2:$B$151,MATCH(LARGE(Scoring!$U$2:$U$151,$A69),Scoring!$U$2:$U$151,0)))</f>
        <v/>
      </c>
      <c r="L69" s="5" t="str">
        <f aca="false">IF(LARGE(Scoring!$U$2:$U$151,$A69)&lt;0,"",INDEX(Fundamentals!$C$2:$C$151,MATCH(LARGE(Scoring!$U$2:$U$151,$A69),Scoring!$U$2:$U$151,0)))</f>
        <v/>
      </c>
      <c r="M69" s="12" t="str">
        <f aca="false">IF(LARGE(Scoring!$U$2:$U$151,$A69)&lt;0,"",INDEX(Fundamentals!$F$2:$F$151,MATCH(LARGE(Scoring!$U$2:$U$151,$A69),Scoring!$U$2:$U$151,0)))</f>
        <v/>
      </c>
      <c r="N69" s="12" t="str">
        <f aca="false">IF(LARGE(Scoring!$U$2:$U$151,$A69)&lt;0,"",INDEX(PriceMetrics!$P$2:$P$151,MATCH(LARGE(Scoring!$U$2:$U$151,$A69),Scoring!$U$2:$U$151,0)))</f>
        <v/>
      </c>
    </row>
    <row r="70" customFormat="false" ht="15" hidden="false" customHeight="false" outlineLevel="0" collapsed="false">
      <c r="A70" s="3" t="n">
        <v>69</v>
      </c>
      <c r="B70" s="3" t="str">
        <f aca="false">IF(LARGE(Scoring!$U$2:$U$151,$A70)&lt;0,"",INDEX(Scoring!$A$2:$A$151,MATCH(LARGE(Scoring!$U$2:$U$151,$A70),Scoring!$U$2:$U$151,0)))</f>
        <v/>
      </c>
      <c r="C70" s="3" t="str">
        <f aca="false">IF(LARGE(Scoring!$U$2:$U$151,$A70)&lt;0,"",INDEX(Tickers!$B$2:$B$151,MATCH(LARGE(Scoring!$U$2:$U$151,$A70),Scoring!$U$2:$U$151,0)))</f>
        <v/>
      </c>
      <c r="D70" s="3" t="str">
        <f aca="false">IF(LARGE(Scoring!$U$2:$U$151,$A70)&lt;0,"",INDEX(Tickers!$D$2:$D$151,MATCH(LARGE(Scoring!$U$2:$U$151,$A70),Scoring!$U$2:$U$151,0)))</f>
        <v/>
      </c>
      <c r="E70" s="3" t="str">
        <f aca="false">IF(LARGE(Scoring!$U$2:$U$151,$A70)&lt;0,"",INDEX(Tickers!$C$2:$C$151,MATCH(LARGE(Scoring!$U$2:$U$151,$A70),Scoring!$U$2:$U$151,0)))</f>
        <v/>
      </c>
      <c r="F70" s="5" t="str">
        <f aca="false">IF(LARGE(Scoring!$U$2:$U$151,$A70)&lt;0,"",INDEX(Scoring!$M$2:$M$151,MATCH(LARGE(Scoring!$U$2:$U$151,$A70),Scoring!$U$2:$U$151,0)))</f>
        <v/>
      </c>
      <c r="G70" s="3" t="str">
        <f aca="false">IF(LARGE(Scoring!$U$2:$U$151,$A70)&lt;0,"",INDEX(Scoring!$P$2:$P$151,MATCH(LARGE(Scoring!$U$2:$U$151,$A70),Scoring!$U$2:$U$151,0)))</f>
        <v/>
      </c>
      <c r="H70" s="3" t="str">
        <f aca="false">IF(LARGE(Scoring!$U$2:$U$151,$A70)&lt;0,"",INDEX(Scoring!$Q$2:$Q$151,MATCH(LARGE(Scoring!$U$2:$U$151,$A70),Scoring!$U$2:$U$151,0)))</f>
        <v/>
      </c>
      <c r="I70" s="12" t="str">
        <f aca="false">IF(LARGE(Scoring!$U$2:$U$151,$A70)&lt;0,"",INDEX(Scoring!$R$2:$R$151,MATCH(LARGE(Scoring!$U$2:$U$151,$A70),Scoring!$U$2:$U$151,0)))</f>
        <v/>
      </c>
      <c r="J70" s="3" t="str">
        <f aca="false">IF(LARGE(Scoring!$U$2:$U$151,$A70)&lt;0,"",INDEX(Scoring!$S$2:$S$151,MATCH(LARGE(Scoring!$U$2:$U$151,$A70),Scoring!$U$2:$U$151,0)))</f>
        <v/>
      </c>
      <c r="K70" s="20" t="str">
        <f aca="false">IF(LARGE(Scoring!$U$2:$U$151,$A70)&lt;0,"",INDEX(PriceMetrics!$B$2:$B$151,MATCH(LARGE(Scoring!$U$2:$U$151,$A70),Scoring!$U$2:$U$151,0)))</f>
        <v/>
      </c>
      <c r="L70" s="5" t="str">
        <f aca="false">IF(LARGE(Scoring!$U$2:$U$151,$A70)&lt;0,"",INDEX(Fundamentals!$C$2:$C$151,MATCH(LARGE(Scoring!$U$2:$U$151,$A70),Scoring!$U$2:$U$151,0)))</f>
        <v/>
      </c>
      <c r="M70" s="12" t="str">
        <f aca="false">IF(LARGE(Scoring!$U$2:$U$151,$A70)&lt;0,"",INDEX(Fundamentals!$F$2:$F$151,MATCH(LARGE(Scoring!$U$2:$U$151,$A70),Scoring!$U$2:$U$151,0)))</f>
        <v/>
      </c>
      <c r="N70" s="12" t="str">
        <f aca="false">IF(LARGE(Scoring!$U$2:$U$151,$A70)&lt;0,"",INDEX(PriceMetrics!$P$2:$P$151,MATCH(LARGE(Scoring!$U$2:$U$151,$A70),Scoring!$U$2:$U$151,0)))</f>
        <v/>
      </c>
    </row>
    <row r="71" customFormat="false" ht="15" hidden="false" customHeight="false" outlineLevel="0" collapsed="false">
      <c r="A71" s="3" t="n">
        <v>70</v>
      </c>
      <c r="B71" s="3" t="str">
        <f aca="false">IF(LARGE(Scoring!$U$2:$U$151,$A71)&lt;0,"",INDEX(Scoring!$A$2:$A$151,MATCH(LARGE(Scoring!$U$2:$U$151,$A71),Scoring!$U$2:$U$151,0)))</f>
        <v/>
      </c>
      <c r="C71" s="3" t="str">
        <f aca="false">IF(LARGE(Scoring!$U$2:$U$151,$A71)&lt;0,"",INDEX(Tickers!$B$2:$B$151,MATCH(LARGE(Scoring!$U$2:$U$151,$A71),Scoring!$U$2:$U$151,0)))</f>
        <v/>
      </c>
      <c r="D71" s="3" t="str">
        <f aca="false">IF(LARGE(Scoring!$U$2:$U$151,$A71)&lt;0,"",INDEX(Tickers!$D$2:$D$151,MATCH(LARGE(Scoring!$U$2:$U$151,$A71),Scoring!$U$2:$U$151,0)))</f>
        <v/>
      </c>
      <c r="E71" s="3" t="str">
        <f aca="false">IF(LARGE(Scoring!$U$2:$U$151,$A71)&lt;0,"",INDEX(Tickers!$C$2:$C$151,MATCH(LARGE(Scoring!$U$2:$U$151,$A71),Scoring!$U$2:$U$151,0)))</f>
        <v/>
      </c>
      <c r="F71" s="5" t="str">
        <f aca="false">IF(LARGE(Scoring!$U$2:$U$151,$A71)&lt;0,"",INDEX(Scoring!$M$2:$M$151,MATCH(LARGE(Scoring!$U$2:$U$151,$A71),Scoring!$U$2:$U$151,0)))</f>
        <v/>
      </c>
      <c r="G71" s="3" t="str">
        <f aca="false">IF(LARGE(Scoring!$U$2:$U$151,$A71)&lt;0,"",INDEX(Scoring!$P$2:$P$151,MATCH(LARGE(Scoring!$U$2:$U$151,$A71),Scoring!$U$2:$U$151,0)))</f>
        <v/>
      </c>
      <c r="H71" s="3" t="str">
        <f aca="false">IF(LARGE(Scoring!$U$2:$U$151,$A71)&lt;0,"",INDEX(Scoring!$Q$2:$Q$151,MATCH(LARGE(Scoring!$U$2:$U$151,$A71),Scoring!$U$2:$U$151,0)))</f>
        <v/>
      </c>
      <c r="I71" s="12" t="str">
        <f aca="false">IF(LARGE(Scoring!$U$2:$U$151,$A71)&lt;0,"",INDEX(Scoring!$R$2:$R$151,MATCH(LARGE(Scoring!$U$2:$U$151,$A71),Scoring!$U$2:$U$151,0)))</f>
        <v/>
      </c>
      <c r="J71" s="3" t="str">
        <f aca="false">IF(LARGE(Scoring!$U$2:$U$151,$A71)&lt;0,"",INDEX(Scoring!$S$2:$S$151,MATCH(LARGE(Scoring!$U$2:$U$151,$A71),Scoring!$U$2:$U$151,0)))</f>
        <v/>
      </c>
      <c r="K71" s="20" t="str">
        <f aca="false">IF(LARGE(Scoring!$U$2:$U$151,$A71)&lt;0,"",INDEX(PriceMetrics!$B$2:$B$151,MATCH(LARGE(Scoring!$U$2:$U$151,$A71),Scoring!$U$2:$U$151,0)))</f>
        <v/>
      </c>
      <c r="L71" s="5" t="str">
        <f aca="false">IF(LARGE(Scoring!$U$2:$U$151,$A71)&lt;0,"",INDEX(Fundamentals!$C$2:$C$151,MATCH(LARGE(Scoring!$U$2:$U$151,$A71),Scoring!$U$2:$U$151,0)))</f>
        <v/>
      </c>
      <c r="M71" s="12" t="str">
        <f aca="false">IF(LARGE(Scoring!$U$2:$U$151,$A71)&lt;0,"",INDEX(Fundamentals!$F$2:$F$151,MATCH(LARGE(Scoring!$U$2:$U$151,$A71),Scoring!$U$2:$U$151,0)))</f>
        <v/>
      </c>
      <c r="N71" s="12" t="str">
        <f aca="false">IF(LARGE(Scoring!$U$2:$U$151,$A71)&lt;0,"",INDEX(PriceMetrics!$P$2:$P$151,MATCH(LARGE(Scoring!$U$2:$U$151,$A71),Scoring!$U$2:$U$151,0)))</f>
        <v/>
      </c>
    </row>
    <row r="72" customFormat="false" ht="15" hidden="false" customHeight="false" outlineLevel="0" collapsed="false">
      <c r="A72" s="3" t="n">
        <v>71</v>
      </c>
      <c r="B72" s="3" t="str">
        <f aca="false">IF(LARGE(Scoring!$U$2:$U$151,$A72)&lt;0,"",INDEX(Scoring!$A$2:$A$151,MATCH(LARGE(Scoring!$U$2:$U$151,$A72),Scoring!$U$2:$U$151,0)))</f>
        <v/>
      </c>
      <c r="C72" s="3" t="str">
        <f aca="false">IF(LARGE(Scoring!$U$2:$U$151,$A72)&lt;0,"",INDEX(Tickers!$B$2:$B$151,MATCH(LARGE(Scoring!$U$2:$U$151,$A72),Scoring!$U$2:$U$151,0)))</f>
        <v/>
      </c>
      <c r="D72" s="3" t="str">
        <f aca="false">IF(LARGE(Scoring!$U$2:$U$151,$A72)&lt;0,"",INDEX(Tickers!$D$2:$D$151,MATCH(LARGE(Scoring!$U$2:$U$151,$A72),Scoring!$U$2:$U$151,0)))</f>
        <v/>
      </c>
      <c r="E72" s="3" t="str">
        <f aca="false">IF(LARGE(Scoring!$U$2:$U$151,$A72)&lt;0,"",INDEX(Tickers!$C$2:$C$151,MATCH(LARGE(Scoring!$U$2:$U$151,$A72),Scoring!$U$2:$U$151,0)))</f>
        <v/>
      </c>
      <c r="F72" s="5" t="str">
        <f aca="false">IF(LARGE(Scoring!$U$2:$U$151,$A72)&lt;0,"",INDEX(Scoring!$M$2:$M$151,MATCH(LARGE(Scoring!$U$2:$U$151,$A72),Scoring!$U$2:$U$151,0)))</f>
        <v/>
      </c>
      <c r="G72" s="3" t="str">
        <f aca="false">IF(LARGE(Scoring!$U$2:$U$151,$A72)&lt;0,"",INDEX(Scoring!$P$2:$P$151,MATCH(LARGE(Scoring!$U$2:$U$151,$A72),Scoring!$U$2:$U$151,0)))</f>
        <v/>
      </c>
      <c r="H72" s="3" t="str">
        <f aca="false">IF(LARGE(Scoring!$U$2:$U$151,$A72)&lt;0,"",INDEX(Scoring!$Q$2:$Q$151,MATCH(LARGE(Scoring!$U$2:$U$151,$A72),Scoring!$U$2:$U$151,0)))</f>
        <v/>
      </c>
      <c r="I72" s="12" t="str">
        <f aca="false">IF(LARGE(Scoring!$U$2:$U$151,$A72)&lt;0,"",INDEX(Scoring!$R$2:$R$151,MATCH(LARGE(Scoring!$U$2:$U$151,$A72),Scoring!$U$2:$U$151,0)))</f>
        <v/>
      </c>
      <c r="J72" s="3" t="str">
        <f aca="false">IF(LARGE(Scoring!$U$2:$U$151,$A72)&lt;0,"",INDEX(Scoring!$S$2:$S$151,MATCH(LARGE(Scoring!$U$2:$U$151,$A72),Scoring!$U$2:$U$151,0)))</f>
        <v/>
      </c>
      <c r="K72" s="20" t="str">
        <f aca="false">IF(LARGE(Scoring!$U$2:$U$151,$A72)&lt;0,"",INDEX(PriceMetrics!$B$2:$B$151,MATCH(LARGE(Scoring!$U$2:$U$151,$A72),Scoring!$U$2:$U$151,0)))</f>
        <v/>
      </c>
      <c r="L72" s="5" t="str">
        <f aca="false">IF(LARGE(Scoring!$U$2:$U$151,$A72)&lt;0,"",INDEX(Fundamentals!$C$2:$C$151,MATCH(LARGE(Scoring!$U$2:$U$151,$A72),Scoring!$U$2:$U$151,0)))</f>
        <v/>
      </c>
      <c r="M72" s="12" t="str">
        <f aca="false">IF(LARGE(Scoring!$U$2:$U$151,$A72)&lt;0,"",INDEX(Fundamentals!$F$2:$F$151,MATCH(LARGE(Scoring!$U$2:$U$151,$A72),Scoring!$U$2:$U$151,0)))</f>
        <v/>
      </c>
      <c r="N72" s="12" t="str">
        <f aca="false">IF(LARGE(Scoring!$U$2:$U$151,$A72)&lt;0,"",INDEX(PriceMetrics!$P$2:$P$151,MATCH(LARGE(Scoring!$U$2:$U$151,$A72),Scoring!$U$2:$U$151,0)))</f>
        <v/>
      </c>
    </row>
    <row r="73" customFormat="false" ht="15" hidden="false" customHeight="false" outlineLevel="0" collapsed="false">
      <c r="A73" s="3" t="n">
        <v>72</v>
      </c>
      <c r="B73" s="3" t="str">
        <f aca="false">IF(LARGE(Scoring!$U$2:$U$151,$A73)&lt;0,"",INDEX(Scoring!$A$2:$A$151,MATCH(LARGE(Scoring!$U$2:$U$151,$A73),Scoring!$U$2:$U$151,0)))</f>
        <v/>
      </c>
      <c r="C73" s="3" t="str">
        <f aca="false">IF(LARGE(Scoring!$U$2:$U$151,$A73)&lt;0,"",INDEX(Tickers!$B$2:$B$151,MATCH(LARGE(Scoring!$U$2:$U$151,$A73),Scoring!$U$2:$U$151,0)))</f>
        <v/>
      </c>
      <c r="D73" s="3" t="str">
        <f aca="false">IF(LARGE(Scoring!$U$2:$U$151,$A73)&lt;0,"",INDEX(Tickers!$D$2:$D$151,MATCH(LARGE(Scoring!$U$2:$U$151,$A73),Scoring!$U$2:$U$151,0)))</f>
        <v/>
      </c>
      <c r="E73" s="3" t="str">
        <f aca="false">IF(LARGE(Scoring!$U$2:$U$151,$A73)&lt;0,"",INDEX(Tickers!$C$2:$C$151,MATCH(LARGE(Scoring!$U$2:$U$151,$A73),Scoring!$U$2:$U$151,0)))</f>
        <v/>
      </c>
      <c r="F73" s="5" t="str">
        <f aca="false">IF(LARGE(Scoring!$U$2:$U$151,$A73)&lt;0,"",INDEX(Scoring!$M$2:$M$151,MATCH(LARGE(Scoring!$U$2:$U$151,$A73),Scoring!$U$2:$U$151,0)))</f>
        <v/>
      </c>
      <c r="G73" s="3" t="str">
        <f aca="false">IF(LARGE(Scoring!$U$2:$U$151,$A73)&lt;0,"",INDEX(Scoring!$P$2:$P$151,MATCH(LARGE(Scoring!$U$2:$U$151,$A73),Scoring!$U$2:$U$151,0)))</f>
        <v/>
      </c>
      <c r="H73" s="3" t="str">
        <f aca="false">IF(LARGE(Scoring!$U$2:$U$151,$A73)&lt;0,"",INDEX(Scoring!$Q$2:$Q$151,MATCH(LARGE(Scoring!$U$2:$U$151,$A73),Scoring!$U$2:$U$151,0)))</f>
        <v/>
      </c>
      <c r="I73" s="12" t="str">
        <f aca="false">IF(LARGE(Scoring!$U$2:$U$151,$A73)&lt;0,"",INDEX(Scoring!$R$2:$R$151,MATCH(LARGE(Scoring!$U$2:$U$151,$A73),Scoring!$U$2:$U$151,0)))</f>
        <v/>
      </c>
      <c r="J73" s="3" t="str">
        <f aca="false">IF(LARGE(Scoring!$U$2:$U$151,$A73)&lt;0,"",INDEX(Scoring!$S$2:$S$151,MATCH(LARGE(Scoring!$U$2:$U$151,$A73),Scoring!$U$2:$U$151,0)))</f>
        <v/>
      </c>
      <c r="K73" s="20" t="str">
        <f aca="false">IF(LARGE(Scoring!$U$2:$U$151,$A73)&lt;0,"",INDEX(PriceMetrics!$B$2:$B$151,MATCH(LARGE(Scoring!$U$2:$U$151,$A73),Scoring!$U$2:$U$151,0)))</f>
        <v/>
      </c>
      <c r="L73" s="5" t="str">
        <f aca="false">IF(LARGE(Scoring!$U$2:$U$151,$A73)&lt;0,"",INDEX(Fundamentals!$C$2:$C$151,MATCH(LARGE(Scoring!$U$2:$U$151,$A73),Scoring!$U$2:$U$151,0)))</f>
        <v/>
      </c>
      <c r="M73" s="12" t="str">
        <f aca="false">IF(LARGE(Scoring!$U$2:$U$151,$A73)&lt;0,"",INDEX(Fundamentals!$F$2:$F$151,MATCH(LARGE(Scoring!$U$2:$U$151,$A73),Scoring!$U$2:$U$151,0)))</f>
        <v/>
      </c>
      <c r="N73" s="12" t="str">
        <f aca="false">IF(LARGE(Scoring!$U$2:$U$151,$A73)&lt;0,"",INDEX(PriceMetrics!$P$2:$P$151,MATCH(LARGE(Scoring!$U$2:$U$151,$A73),Scoring!$U$2:$U$151,0)))</f>
        <v/>
      </c>
    </row>
    <row r="74" customFormat="false" ht="15" hidden="false" customHeight="false" outlineLevel="0" collapsed="false">
      <c r="A74" s="3" t="n">
        <v>73</v>
      </c>
      <c r="B74" s="3" t="str">
        <f aca="false">IF(LARGE(Scoring!$U$2:$U$151,$A74)&lt;0,"",INDEX(Scoring!$A$2:$A$151,MATCH(LARGE(Scoring!$U$2:$U$151,$A74),Scoring!$U$2:$U$151,0)))</f>
        <v/>
      </c>
      <c r="C74" s="3" t="str">
        <f aca="false">IF(LARGE(Scoring!$U$2:$U$151,$A74)&lt;0,"",INDEX(Tickers!$B$2:$B$151,MATCH(LARGE(Scoring!$U$2:$U$151,$A74),Scoring!$U$2:$U$151,0)))</f>
        <v/>
      </c>
      <c r="D74" s="3" t="str">
        <f aca="false">IF(LARGE(Scoring!$U$2:$U$151,$A74)&lt;0,"",INDEX(Tickers!$D$2:$D$151,MATCH(LARGE(Scoring!$U$2:$U$151,$A74),Scoring!$U$2:$U$151,0)))</f>
        <v/>
      </c>
      <c r="E74" s="3" t="str">
        <f aca="false">IF(LARGE(Scoring!$U$2:$U$151,$A74)&lt;0,"",INDEX(Tickers!$C$2:$C$151,MATCH(LARGE(Scoring!$U$2:$U$151,$A74),Scoring!$U$2:$U$151,0)))</f>
        <v/>
      </c>
      <c r="F74" s="5" t="str">
        <f aca="false">IF(LARGE(Scoring!$U$2:$U$151,$A74)&lt;0,"",INDEX(Scoring!$M$2:$M$151,MATCH(LARGE(Scoring!$U$2:$U$151,$A74),Scoring!$U$2:$U$151,0)))</f>
        <v/>
      </c>
      <c r="G74" s="3" t="str">
        <f aca="false">IF(LARGE(Scoring!$U$2:$U$151,$A74)&lt;0,"",INDEX(Scoring!$P$2:$P$151,MATCH(LARGE(Scoring!$U$2:$U$151,$A74),Scoring!$U$2:$U$151,0)))</f>
        <v/>
      </c>
      <c r="H74" s="3" t="str">
        <f aca="false">IF(LARGE(Scoring!$U$2:$U$151,$A74)&lt;0,"",INDEX(Scoring!$Q$2:$Q$151,MATCH(LARGE(Scoring!$U$2:$U$151,$A74),Scoring!$U$2:$U$151,0)))</f>
        <v/>
      </c>
      <c r="I74" s="12" t="str">
        <f aca="false">IF(LARGE(Scoring!$U$2:$U$151,$A74)&lt;0,"",INDEX(Scoring!$R$2:$R$151,MATCH(LARGE(Scoring!$U$2:$U$151,$A74),Scoring!$U$2:$U$151,0)))</f>
        <v/>
      </c>
      <c r="J74" s="3" t="str">
        <f aca="false">IF(LARGE(Scoring!$U$2:$U$151,$A74)&lt;0,"",INDEX(Scoring!$S$2:$S$151,MATCH(LARGE(Scoring!$U$2:$U$151,$A74),Scoring!$U$2:$U$151,0)))</f>
        <v/>
      </c>
      <c r="K74" s="20" t="str">
        <f aca="false">IF(LARGE(Scoring!$U$2:$U$151,$A74)&lt;0,"",INDEX(PriceMetrics!$B$2:$B$151,MATCH(LARGE(Scoring!$U$2:$U$151,$A74),Scoring!$U$2:$U$151,0)))</f>
        <v/>
      </c>
      <c r="L74" s="5" t="str">
        <f aca="false">IF(LARGE(Scoring!$U$2:$U$151,$A74)&lt;0,"",INDEX(Fundamentals!$C$2:$C$151,MATCH(LARGE(Scoring!$U$2:$U$151,$A74),Scoring!$U$2:$U$151,0)))</f>
        <v/>
      </c>
      <c r="M74" s="12" t="str">
        <f aca="false">IF(LARGE(Scoring!$U$2:$U$151,$A74)&lt;0,"",INDEX(Fundamentals!$F$2:$F$151,MATCH(LARGE(Scoring!$U$2:$U$151,$A74),Scoring!$U$2:$U$151,0)))</f>
        <v/>
      </c>
      <c r="N74" s="12" t="str">
        <f aca="false">IF(LARGE(Scoring!$U$2:$U$151,$A74)&lt;0,"",INDEX(PriceMetrics!$P$2:$P$151,MATCH(LARGE(Scoring!$U$2:$U$151,$A74),Scoring!$U$2:$U$151,0)))</f>
        <v/>
      </c>
    </row>
    <row r="75" customFormat="false" ht="15" hidden="false" customHeight="false" outlineLevel="0" collapsed="false">
      <c r="A75" s="3" t="n">
        <v>74</v>
      </c>
      <c r="B75" s="3" t="str">
        <f aca="false">IF(LARGE(Scoring!$U$2:$U$151,$A75)&lt;0,"",INDEX(Scoring!$A$2:$A$151,MATCH(LARGE(Scoring!$U$2:$U$151,$A75),Scoring!$U$2:$U$151,0)))</f>
        <v/>
      </c>
      <c r="C75" s="3" t="str">
        <f aca="false">IF(LARGE(Scoring!$U$2:$U$151,$A75)&lt;0,"",INDEX(Tickers!$B$2:$B$151,MATCH(LARGE(Scoring!$U$2:$U$151,$A75),Scoring!$U$2:$U$151,0)))</f>
        <v/>
      </c>
      <c r="D75" s="3" t="str">
        <f aca="false">IF(LARGE(Scoring!$U$2:$U$151,$A75)&lt;0,"",INDEX(Tickers!$D$2:$D$151,MATCH(LARGE(Scoring!$U$2:$U$151,$A75),Scoring!$U$2:$U$151,0)))</f>
        <v/>
      </c>
      <c r="E75" s="3" t="str">
        <f aca="false">IF(LARGE(Scoring!$U$2:$U$151,$A75)&lt;0,"",INDEX(Tickers!$C$2:$C$151,MATCH(LARGE(Scoring!$U$2:$U$151,$A75),Scoring!$U$2:$U$151,0)))</f>
        <v/>
      </c>
      <c r="F75" s="5" t="str">
        <f aca="false">IF(LARGE(Scoring!$U$2:$U$151,$A75)&lt;0,"",INDEX(Scoring!$M$2:$M$151,MATCH(LARGE(Scoring!$U$2:$U$151,$A75),Scoring!$U$2:$U$151,0)))</f>
        <v/>
      </c>
      <c r="G75" s="3" t="str">
        <f aca="false">IF(LARGE(Scoring!$U$2:$U$151,$A75)&lt;0,"",INDEX(Scoring!$P$2:$P$151,MATCH(LARGE(Scoring!$U$2:$U$151,$A75),Scoring!$U$2:$U$151,0)))</f>
        <v/>
      </c>
      <c r="H75" s="3" t="str">
        <f aca="false">IF(LARGE(Scoring!$U$2:$U$151,$A75)&lt;0,"",INDEX(Scoring!$Q$2:$Q$151,MATCH(LARGE(Scoring!$U$2:$U$151,$A75),Scoring!$U$2:$U$151,0)))</f>
        <v/>
      </c>
      <c r="I75" s="12" t="str">
        <f aca="false">IF(LARGE(Scoring!$U$2:$U$151,$A75)&lt;0,"",INDEX(Scoring!$R$2:$R$151,MATCH(LARGE(Scoring!$U$2:$U$151,$A75),Scoring!$U$2:$U$151,0)))</f>
        <v/>
      </c>
      <c r="J75" s="3" t="str">
        <f aca="false">IF(LARGE(Scoring!$U$2:$U$151,$A75)&lt;0,"",INDEX(Scoring!$S$2:$S$151,MATCH(LARGE(Scoring!$U$2:$U$151,$A75),Scoring!$U$2:$U$151,0)))</f>
        <v/>
      </c>
      <c r="K75" s="20" t="str">
        <f aca="false">IF(LARGE(Scoring!$U$2:$U$151,$A75)&lt;0,"",INDEX(PriceMetrics!$B$2:$B$151,MATCH(LARGE(Scoring!$U$2:$U$151,$A75),Scoring!$U$2:$U$151,0)))</f>
        <v/>
      </c>
      <c r="L75" s="5" t="str">
        <f aca="false">IF(LARGE(Scoring!$U$2:$U$151,$A75)&lt;0,"",INDEX(Fundamentals!$C$2:$C$151,MATCH(LARGE(Scoring!$U$2:$U$151,$A75),Scoring!$U$2:$U$151,0)))</f>
        <v/>
      </c>
      <c r="M75" s="12" t="str">
        <f aca="false">IF(LARGE(Scoring!$U$2:$U$151,$A75)&lt;0,"",INDEX(Fundamentals!$F$2:$F$151,MATCH(LARGE(Scoring!$U$2:$U$151,$A75),Scoring!$U$2:$U$151,0)))</f>
        <v/>
      </c>
      <c r="N75" s="12" t="str">
        <f aca="false">IF(LARGE(Scoring!$U$2:$U$151,$A75)&lt;0,"",INDEX(PriceMetrics!$P$2:$P$151,MATCH(LARGE(Scoring!$U$2:$U$151,$A75),Scoring!$U$2:$U$151,0)))</f>
        <v/>
      </c>
    </row>
    <row r="76" customFormat="false" ht="15" hidden="false" customHeight="false" outlineLevel="0" collapsed="false">
      <c r="A76" s="3" t="n">
        <v>75</v>
      </c>
      <c r="B76" s="3" t="str">
        <f aca="false">IF(LARGE(Scoring!$U$2:$U$151,$A76)&lt;0,"",INDEX(Scoring!$A$2:$A$151,MATCH(LARGE(Scoring!$U$2:$U$151,$A76),Scoring!$U$2:$U$151,0)))</f>
        <v/>
      </c>
      <c r="C76" s="3" t="str">
        <f aca="false">IF(LARGE(Scoring!$U$2:$U$151,$A76)&lt;0,"",INDEX(Tickers!$B$2:$B$151,MATCH(LARGE(Scoring!$U$2:$U$151,$A76),Scoring!$U$2:$U$151,0)))</f>
        <v/>
      </c>
      <c r="D76" s="3" t="str">
        <f aca="false">IF(LARGE(Scoring!$U$2:$U$151,$A76)&lt;0,"",INDEX(Tickers!$D$2:$D$151,MATCH(LARGE(Scoring!$U$2:$U$151,$A76),Scoring!$U$2:$U$151,0)))</f>
        <v/>
      </c>
      <c r="E76" s="3" t="str">
        <f aca="false">IF(LARGE(Scoring!$U$2:$U$151,$A76)&lt;0,"",INDEX(Tickers!$C$2:$C$151,MATCH(LARGE(Scoring!$U$2:$U$151,$A76),Scoring!$U$2:$U$151,0)))</f>
        <v/>
      </c>
      <c r="F76" s="5" t="str">
        <f aca="false">IF(LARGE(Scoring!$U$2:$U$151,$A76)&lt;0,"",INDEX(Scoring!$M$2:$M$151,MATCH(LARGE(Scoring!$U$2:$U$151,$A76),Scoring!$U$2:$U$151,0)))</f>
        <v/>
      </c>
      <c r="G76" s="3" t="str">
        <f aca="false">IF(LARGE(Scoring!$U$2:$U$151,$A76)&lt;0,"",INDEX(Scoring!$P$2:$P$151,MATCH(LARGE(Scoring!$U$2:$U$151,$A76),Scoring!$U$2:$U$151,0)))</f>
        <v/>
      </c>
      <c r="H76" s="3" t="str">
        <f aca="false">IF(LARGE(Scoring!$U$2:$U$151,$A76)&lt;0,"",INDEX(Scoring!$Q$2:$Q$151,MATCH(LARGE(Scoring!$U$2:$U$151,$A76),Scoring!$U$2:$U$151,0)))</f>
        <v/>
      </c>
      <c r="I76" s="12" t="str">
        <f aca="false">IF(LARGE(Scoring!$U$2:$U$151,$A76)&lt;0,"",INDEX(Scoring!$R$2:$R$151,MATCH(LARGE(Scoring!$U$2:$U$151,$A76),Scoring!$U$2:$U$151,0)))</f>
        <v/>
      </c>
      <c r="J76" s="3" t="str">
        <f aca="false">IF(LARGE(Scoring!$U$2:$U$151,$A76)&lt;0,"",INDEX(Scoring!$S$2:$S$151,MATCH(LARGE(Scoring!$U$2:$U$151,$A76),Scoring!$U$2:$U$151,0)))</f>
        <v/>
      </c>
      <c r="K76" s="20" t="str">
        <f aca="false">IF(LARGE(Scoring!$U$2:$U$151,$A76)&lt;0,"",INDEX(PriceMetrics!$B$2:$B$151,MATCH(LARGE(Scoring!$U$2:$U$151,$A76),Scoring!$U$2:$U$151,0)))</f>
        <v/>
      </c>
      <c r="L76" s="5" t="str">
        <f aca="false">IF(LARGE(Scoring!$U$2:$U$151,$A76)&lt;0,"",INDEX(Fundamentals!$C$2:$C$151,MATCH(LARGE(Scoring!$U$2:$U$151,$A76),Scoring!$U$2:$U$151,0)))</f>
        <v/>
      </c>
      <c r="M76" s="12" t="str">
        <f aca="false">IF(LARGE(Scoring!$U$2:$U$151,$A76)&lt;0,"",INDEX(Fundamentals!$F$2:$F$151,MATCH(LARGE(Scoring!$U$2:$U$151,$A76),Scoring!$U$2:$U$151,0)))</f>
        <v/>
      </c>
      <c r="N76" s="12" t="str">
        <f aca="false">IF(LARGE(Scoring!$U$2:$U$151,$A76)&lt;0,"",INDEX(PriceMetrics!$P$2:$P$151,MATCH(LARGE(Scoring!$U$2:$U$151,$A76),Scoring!$U$2:$U$151,0)))</f>
        <v/>
      </c>
    </row>
    <row r="77" customFormat="false" ht="15" hidden="false" customHeight="false" outlineLevel="0" collapsed="false">
      <c r="A77" s="3" t="n">
        <v>76</v>
      </c>
      <c r="B77" s="3" t="str">
        <f aca="false">IF(LARGE(Scoring!$U$2:$U$151,$A77)&lt;0,"",INDEX(Scoring!$A$2:$A$151,MATCH(LARGE(Scoring!$U$2:$U$151,$A77),Scoring!$U$2:$U$151,0)))</f>
        <v/>
      </c>
      <c r="C77" s="3" t="str">
        <f aca="false">IF(LARGE(Scoring!$U$2:$U$151,$A77)&lt;0,"",INDEX(Tickers!$B$2:$B$151,MATCH(LARGE(Scoring!$U$2:$U$151,$A77),Scoring!$U$2:$U$151,0)))</f>
        <v/>
      </c>
      <c r="D77" s="3" t="str">
        <f aca="false">IF(LARGE(Scoring!$U$2:$U$151,$A77)&lt;0,"",INDEX(Tickers!$D$2:$D$151,MATCH(LARGE(Scoring!$U$2:$U$151,$A77),Scoring!$U$2:$U$151,0)))</f>
        <v/>
      </c>
      <c r="E77" s="3" t="str">
        <f aca="false">IF(LARGE(Scoring!$U$2:$U$151,$A77)&lt;0,"",INDEX(Tickers!$C$2:$C$151,MATCH(LARGE(Scoring!$U$2:$U$151,$A77),Scoring!$U$2:$U$151,0)))</f>
        <v/>
      </c>
      <c r="F77" s="5" t="str">
        <f aca="false">IF(LARGE(Scoring!$U$2:$U$151,$A77)&lt;0,"",INDEX(Scoring!$M$2:$M$151,MATCH(LARGE(Scoring!$U$2:$U$151,$A77),Scoring!$U$2:$U$151,0)))</f>
        <v/>
      </c>
      <c r="G77" s="3" t="str">
        <f aca="false">IF(LARGE(Scoring!$U$2:$U$151,$A77)&lt;0,"",INDEX(Scoring!$P$2:$P$151,MATCH(LARGE(Scoring!$U$2:$U$151,$A77),Scoring!$U$2:$U$151,0)))</f>
        <v/>
      </c>
      <c r="H77" s="3" t="str">
        <f aca="false">IF(LARGE(Scoring!$U$2:$U$151,$A77)&lt;0,"",INDEX(Scoring!$Q$2:$Q$151,MATCH(LARGE(Scoring!$U$2:$U$151,$A77),Scoring!$U$2:$U$151,0)))</f>
        <v/>
      </c>
      <c r="I77" s="12" t="str">
        <f aca="false">IF(LARGE(Scoring!$U$2:$U$151,$A77)&lt;0,"",INDEX(Scoring!$R$2:$R$151,MATCH(LARGE(Scoring!$U$2:$U$151,$A77),Scoring!$U$2:$U$151,0)))</f>
        <v/>
      </c>
      <c r="J77" s="3" t="str">
        <f aca="false">IF(LARGE(Scoring!$U$2:$U$151,$A77)&lt;0,"",INDEX(Scoring!$S$2:$S$151,MATCH(LARGE(Scoring!$U$2:$U$151,$A77),Scoring!$U$2:$U$151,0)))</f>
        <v/>
      </c>
      <c r="K77" s="20" t="str">
        <f aca="false">IF(LARGE(Scoring!$U$2:$U$151,$A77)&lt;0,"",INDEX(PriceMetrics!$B$2:$B$151,MATCH(LARGE(Scoring!$U$2:$U$151,$A77),Scoring!$U$2:$U$151,0)))</f>
        <v/>
      </c>
      <c r="L77" s="5" t="str">
        <f aca="false">IF(LARGE(Scoring!$U$2:$U$151,$A77)&lt;0,"",INDEX(Fundamentals!$C$2:$C$151,MATCH(LARGE(Scoring!$U$2:$U$151,$A77),Scoring!$U$2:$U$151,0)))</f>
        <v/>
      </c>
      <c r="M77" s="12" t="str">
        <f aca="false">IF(LARGE(Scoring!$U$2:$U$151,$A77)&lt;0,"",INDEX(Fundamentals!$F$2:$F$151,MATCH(LARGE(Scoring!$U$2:$U$151,$A77),Scoring!$U$2:$U$151,0)))</f>
        <v/>
      </c>
      <c r="N77" s="12" t="str">
        <f aca="false">IF(LARGE(Scoring!$U$2:$U$151,$A77)&lt;0,"",INDEX(PriceMetrics!$P$2:$P$151,MATCH(LARGE(Scoring!$U$2:$U$151,$A77),Scoring!$U$2:$U$151,0)))</f>
        <v/>
      </c>
    </row>
    <row r="78" customFormat="false" ht="15" hidden="false" customHeight="false" outlineLevel="0" collapsed="false">
      <c r="A78" s="3" t="n">
        <v>77</v>
      </c>
      <c r="B78" s="3" t="str">
        <f aca="false">IF(LARGE(Scoring!$U$2:$U$151,$A78)&lt;0,"",INDEX(Scoring!$A$2:$A$151,MATCH(LARGE(Scoring!$U$2:$U$151,$A78),Scoring!$U$2:$U$151,0)))</f>
        <v/>
      </c>
      <c r="C78" s="3" t="str">
        <f aca="false">IF(LARGE(Scoring!$U$2:$U$151,$A78)&lt;0,"",INDEX(Tickers!$B$2:$B$151,MATCH(LARGE(Scoring!$U$2:$U$151,$A78),Scoring!$U$2:$U$151,0)))</f>
        <v/>
      </c>
      <c r="D78" s="3" t="str">
        <f aca="false">IF(LARGE(Scoring!$U$2:$U$151,$A78)&lt;0,"",INDEX(Tickers!$D$2:$D$151,MATCH(LARGE(Scoring!$U$2:$U$151,$A78),Scoring!$U$2:$U$151,0)))</f>
        <v/>
      </c>
      <c r="E78" s="3" t="str">
        <f aca="false">IF(LARGE(Scoring!$U$2:$U$151,$A78)&lt;0,"",INDEX(Tickers!$C$2:$C$151,MATCH(LARGE(Scoring!$U$2:$U$151,$A78),Scoring!$U$2:$U$151,0)))</f>
        <v/>
      </c>
      <c r="F78" s="5" t="str">
        <f aca="false">IF(LARGE(Scoring!$U$2:$U$151,$A78)&lt;0,"",INDEX(Scoring!$M$2:$M$151,MATCH(LARGE(Scoring!$U$2:$U$151,$A78),Scoring!$U$2:$U$151,0)))</f>
        <v/>
      </c>
      <c r="G78" s="3" t="str">
        <f aca="false">IF(LARGE(Scoring!$U$2:$U$151,$A78)&lt;0,"",INDEX(Scoring!$P$2:$P$151,MATCH(LARGE(Scoring!$U$2:$U$151,$A78),Scoring!$U$2:$U$151,0)))</f>
        <v/>
      </c>
      <c r="H78" s="3" t="str">
        <f aca="false">IF(LARGE(Scoring!$U$2:$U$151,$A78)&lt;0,"",INDEX(Scoring!$Q$2:$Q$151,MATCH(LARGE(Scoring!$U$2:$U$151,$A78),Scoring!$U$2:$U$151,0)))</f>
        <v/>
      </c>
      <c r="I78" s="12" t="str">
        <f aca="false">IF(LARGE(Scoring!$U$2:$U$151,$A78)&lt;0,"",INDEX(Scoring!$R$2:$R$151,MATCH(LARGE(Scoring!$U$2:$U$151,$A78),Scoring!$U$2:$U$151,0)))</f>
        <v/>
      </c>
      <c r="J78" s="3" t="str">
        <f aca="false">IF(LARGE(Scoring!$U$2:$U$151,$A78)&lt;0,"",INDEX(Scoring!$S$2:$S$151,MATCH(LARGE(Scoring!$U$2:$U$151,$A78),Scoring!$U$2:$U$151,0)))</f>
        <v/>
      </c>
      <c r="K78" s="20" t="str">
        <f aca="false">IF(LARGE(Scoring!$U$2:$U$151,$A78)&lt;0,"",INDEX(PriceMetrics!$B$2:$B$151,MATCH(LARGE(Scoring!$U$2:$U$151,$A78),Scoring!$U$2:$U$151,0)))</f>
        <v/>
      </c>
      <c r="L78" s="5" t="str">
        <f aca="false">IF(LARGE(Scoring!$U$2:$U$151,$A78)&lt;0,"",INDEX(Fundamentals!$C$2:$C$151,MATCH(LARGE(Scoring!$U$2:$U$151,$A78),Scoring!$U$2:$U$151,0)))</f>
        <v/>
      </c>
      <c r="M78" s="12" t="str">
        <f aca="false">IF(LARGE(Scoring!$U$2:$U$151,$A78)&lt;0,"",INDEX(Fundamentals!$F$2:$F$151,MATCH(LARGE(Scoring!$U$2:$U$151,$A78),Scoring!$U$2:$U$151,0)))</f>
        <v/>
      </c>
      <c r="N78" s="12" t="str">
        <f aca="false">IF(LARGE(Scoring!$U$2:$U$151,$A78)&lt;0,"",INDEX(PriceMetrics!$P$2:$P$151,MATCH(LARGE(Scoring!$U$2:$U$151,$A78),Scoring!$U$2:$U$151,0)))</f>
        <v/>
      </c>
    </row>
    <row r="79" customFormat="false" ht="15" hidden="false" customHeight="false" outlineLevel="0" collapsed="false">
      <c r="A79" s="3" t="n">
        <v>78</v>
      </c>
      <c r="B79" s="3" t="str">
        <f aca="false">IF(LARGE(Scoring!$U$2:$U$151,$A79)&lt;0,"",INDEX(Scoring!$A$2:$A$151,MATCH(LARGE(Scoring!$U$2:$U$151,$A79),Scoring!$U$2:$U$151,0)))</f>
        <v/>
      </c>
      <c r="C79" s="3" t="str">
        <f aca="false">IF(LARGE(Scoring!$U$2:$U$151,$A79)&lt;0,"",INDEX(Tickers!$B$2:$B$151,MATCH(LARGE(Scoring!$U$2:$U$151,$A79),Scoring!$U$2:$U$151,0)))</f>
        <v/>
      </c>
      <c r="D79" s="3" t="str">
        <f aca="false">IF(LARGE(Scoring!$U$2:$U$151,$A79)&lt;0,"",INDEX(Tickers!$D$2:$D$151,MATCH(LARGE(Scoring!$U$2:$U$151,$A79),Scoring!$U$2:$U$151,0)))</f>
        <v/>
      </c>
      <c r="E79" s="3" t="str">
        <f aca="false">IF(LARGE(Scoring!$U$2:$U$151,$A79)&lt;0,"",INDEX(Tickers!$C$2:$C$151,MATCH(LARGE(Scoring!$U$2:$U$151,$A79),Scoring!$U$2:$U$151,0)))</f>
        <v/>
      </c>
      <c r="F79" s="5" t="str">
        <f aca="false">IF(LARGE(Scoring!$U$2:$U$151,$A79)&lt;0,"",INDEX(Scoring!$M$2:$M$151,MATCH(LARGE(Scoring!$U$2:$U$151,$A79),Scoring!$U$2:$U$151,0)))</f>
        <v/>
      </c>
      <c r="G79" s="3" t="str">
        <f aca="false">IF(LARGE(Scoring!$U$2:$U$151,$A79)&lt;0,"",INDEX(Scoring!$P$2:$P$151,MATCH(LARGE(Scoring!$U$2:$U$151,$A79),Scoring!$U$2:$U$151,0)))</f>
        <v/>
      </c>
      <c r="H79" s="3" t="str">
        <f aca="false">IF(LARGE(Scoring!$U$2:$U$151,$A79)&lt;0,"",INDEX(Scoring!$Q$2:$Q$151,MATCH(LARGE(Scoring!$U$2:$U$151,$A79),Scoring!$U$2:$U$151,0)))</f>
        <v/>
      </c>
      <c r="I79" s="12" t="str">
        <f aca="false">IF(LARGE(Scoring!$U$2:$U$151,$A79)&lt;0,"",INDEX(Scoring!$R$2:$R$151,MATCH(LARGE(Scoring!$U$2:$U$151,$A79),Scoring!$U$2:$U$151,0)))</f>
        <v/>
      </c>
      <c r="J79" s="3" t="str">
        <f aca="false">IF(LARGE(Scoring!$U$2:$U$151,$A79)&lt;0,"",INDEX(Scoring!$S$2:$S$151,MATCH(LARGE(Scoring!$U$2:$U$151,$A79),Scoring!$U$2:$U$151,0)))</f>
        <v/>
      </c>
      <c r="K79" s="20" t="str">
        <f aca="false">IF(LARGE(Scoring!$U$2:$U$151,$A79)&lt;0,"",INDEX(PriceMetrics!$B$2:$B$151,MATCH(LARGE(Scoring!$U$2:$U$151,$A79),Scoring!$U$2:$U$151,0)))</f>
        <v/>
      </c>
      <c r="L79" s="5" t="str">
        <f aca="false">IF(LARGE(Scoring!$U$2:$U$151,$A79)&lt;0,"",INDEX(Fundamentals!$C$2:$C$151,MATCH(LARGE(Scoring!$U$2:$U$151,$A79),Scoring!$U$2:$U$151,0)))</f>
        <v/>
      </c>
      <c r="M79" s="12" t="str">
        <f aca="false">IF(LARGE(Scoring!$U$2:$U$151,$A79)&lt;0,"",INDEX(Fundamentals!$F$2:$F$151,MATCH(LARGE(Scoring!$U$2:$U$151,$A79),Scoring!$U$2:$U$151,0)))</f>
        <v/>
      </c>
      <c r="N79" s="12" t="str">
        <f aca="false">IF(LARGE(Scoring!$U$2:$U$151,$A79)&lt;0,"",INDEX(PriceMetrics!$P$2:$P$151,MATCH(LARGE(Scoring!$U$2:$U$151,$A79),Scoring!$U$2:$U$151,0)))</f>
        <v/>
      </c>
    </row>
    <row r="80" customFormat="false" ht="15" hidden="false" customHeight="false" outlineLevel="0" collapsed="false">
      <c r="A80" s="3" t="n">
        <v>79</v>
      </c>
      <c r="B80" s="3" t="str">
        <f aca="false">IF(LARGE(Scoring!$U$2:$U$151,$A80)&lt;0,"",INDEX(Scoring!$A$2:$A$151,MATCH(LARGE(Scoring!$U$2:$U$151,$A80),Scoring!$U$2:$U$151,0)))</f>
        <v/>
      </c>
      <c r="C80" s="3" t="str">
        <f aca="false">IF(LARGE(Scoring!$U$2:$U$151,$A80)&lt;0,"",INDEX(Tickers!$B$2:$B$151,MATCH(LARGE(Scoring!$U$2:$U$151,$A80),Scoring!$U$2:$U$151,0)))</f>
        <v/>
      </c>
      <c r="D80" s="3" t="str">
        <f aca="false">IF(LARGE(Scoring!$U$2:$U$151,$A80)&lt;0,"",INDEX(Tickers!$D$2:$D$151,MATCH(LARGE(Scoring!$U$2:$U$151,$A80),Scoring!$U$2:$U$151,0)))</f>
        <v/>
      </c>
      <c r="E80" s="3" t="str">
        <f aca="false">IF(LARGE(Scoring!$U$2:$U$151,$A80)&lt;0,"",INDEX(Tickers!$C$2:$C$151,MATCH(LARGE(Scoring!$U$2:$U$151,$A80),Scoring!$U$2:$U$151,0)))</f>
        <v/>
      </c>
      <c r="F80" s="5" t="str">
        <f aca="false">IF(LARGE(Scoring!$U$2:$U$151,$A80)&lt;0,"",INDEX(Scoring!$M$2:$M$151,MATCH(LARGE(Scoring!$U$2:$U$151,$A80),Scoring!$U$2:$U$151,0)))</f>
        <v/>
      </c>
      <c r="G80" s="3" t="str">
        <f aca="false">IF(LARGE(Scoring!$U$2:$U$151,$A80)&lt;0,"",INDEX(Scoring!$P$2:$P$151,MATCH(LARGE(Scoring!$U$2:$U$151,$A80),Scoring!$U$2:$U$151,0)))</f>
        <v/>
      </c>
      <c r="H80" s="3" t="str">
        <f aca="false">IF(LARGE(Scoring!$U$2:$U$151,$A80)&lt;0,"",INDEX(Scoring!$Q$2:$Q$151,MATCH(LARGE(Scoring!$U$2:$U$151,$A80),Scoring!$U$2:$U$151,0)))</f>
        <v/>
      </c>
      <c r="I80" s="12" t="str">
        <f aca="false">IF(LARGE(Scoring!$U$2:$U$151,$A80)&lt;0,"",INDEX(Scoring!$R$2:$R$151,MATCH(LARGE(Scoring!$U$2:$U$151,$A80),Scoring!$U$2:$U$151,0)))</f>
        <v/>
      </c>
      <c r="J80" s="3" t="str">
        <f aca="false">IF(LARGE(Scoring!$U$2:$U$151,$A80)&lt;0,"",INDEX(Scoring!$S$2:$S$151,MATCH(LARGE(Scoring!$U$2:$U$151,$A80),Scoring!$U$2:$U$151,0)))</f>
        <v/>
      </c>
      <c r="K80" s="20" t="str">
        <f aca="false">IF(LARGE(Scoring!$U$2:$U$151,$A80)&lt;0,"",INDEX(PriceMetrics!$B$2:$B$151,MATCH(LARGE(Scoring!$U$2:$U$151,$A80),Scoring!$U$2:$U$151,0)))</f>
        <v/>
      </c>
      <c r="L80" s="5" t="str">
        <f aca="false">IF(LARGE(Scoring!$U$2:$U$151,$A80)&lt;0,"",INDEX(Fundamentals!$C$2:$C$151,MATCH(LARGE(Scoring!$U$2:$U$151,$A80),Scoring!$U$2:$U$151,0)))</f>
        <v/>
      </c>
      <c r="M80" s="12" t="str">
        <f aca="false">IF(LARGE(Scoring!$U$2:$U$151,$A80)&lt;0,"",INDEX(Fundamentals!$F$2:$F$151,MATCH(LARGE(Scoring!$U$2:$U$151,$A80),Scoring!$U$2:$U$151,0)))</f>
        <v/>
      </c>
      <c r="N80" s="12" t="str">
        <f aca="false">IF(LARGE(Scoring!$U$2:$U$151,$A80)&lt;0,"",INDEX(PriceMetrics!$P$2:$P$151,MATCH(LARGE(Scoring!$U$2:$U$151,$A80),Scoring!$U$2:$U$151,0)))</f>
        <v/>
      </c>
    </row>
    <row r="81" customFormat="false" ht="15" hidden="false" customHeight="false" outlineLevel="0" collapsed="false">
      <c r="A81" s="3" t="n">
        <v>80</v>
      </c>
      <c r="B81" s="3" t="str">
        <f aca="false">IF(LARGE(Scoring!$U$2:$U$151,$A81)&lt;0,"",INDEX(Scoring!$A$2:$A$151,MATCH(LARGE(Scoring!$U$2:$U$151,$A81),Scoring!$U$2:$U$151,0)))</f>
        <v/>
      </c>
      <c r="C81" s="3" t="str">
        <f aca="false">IF(LARGE(Scoring!$U$2:$U$151,$A81)&lt;0,"",INDEX(Tickers!$B$2:$B$151,MATCH(LARGE(Scoring!$U$2:$U$151,$A81),Scoring!$U$2:$U$151,0)))</f>
        <v/>
      </c>
      <c r="D81" s="3" t="str">
        <f aca="false">IF(LARGE(Scoring!$U$2:$U$151,$A81)&lt;0,"",INDEX(Tickers!$D$2:$D$151,MATCH(LARGE(Scoring!$U$2:$U$151,$A81),Scoring!$U$2:$U$151,0)))</f>
        <v/>
      </c>
      <c r="E81" s="3" t="str">
        <f aca="false">IF(LARGE(Scoring!$U$2:$U$151,$A81)&lt;0,"",INDEX(Tickers!$C$2:$C$151,MATCH(LARGE(Scoring!$U$2:$U$151,$A81),Scoring!$U$2:$U$151,0)))</f>
        <v/>
      </c>
      <c r="F81" s="5" t="str">
        <f aca="false">IF(LARGE(Scoring!$U$2:$U$151,$A81)&lt;0,"",INDEX(Scoring!$M$2:$M$151,MATCH(LARGE(Scoring!$U$2:$U$151,$A81),Scoring!$U$2:$U$151,0)))</f>
        <v/>
      </c>
      <c r="G81" s="3" t="str">
        <f aca="false">IF(LARGE(Scoring!$U$2:$U$151,$A81)&lt;0,"",INDEX(Scoring!$P$2:$P$151,MATCH(LARGE(Scoring!$U$2:$U$151,$A81),Scoring!$U$2:$U$151,0)))</f>
        <v/>
      </c>
      <c r="H81" s="3" t="str">
        <f aca="false">IF(LARGE(Scoring!$U$2:$U$151,$A81)&lt;0,"",INDEX(Scoring!$Q$2:$Q$151,MATCH(LARGE(Scoring!$U$2:$U$151,$A81),Scoring!$U$2:$U$151,0)))</f>
        <v/>
      </c>
      <c r="I81" s="12" t="str">
        <f aca="false">IF(LARGE(Scoring!$U$2:$U$151,$A81)&lt;0,"",INDEX(Scoring!$R$2:$R$151,MATCH(LARGE(Scoring!$U$2:$U$151,$A81),Scoring!$U$2:$U$151,0)))</f>
        <v/>
      </c>
      <c r="J81" s="3" t="str">
        <f aca="false">IF(LARGE(Scoring!$U$2:$U$151,$A81)&lt;0,"",INDEX(Scoring!$S$2:$S$151,MATCH(LARGE(Scoring!$U$2:$U$151,$A81),Scoring!$U$2:$U$151,0)))</f>
        <v/>
      </c>
      <c r="K81" s="20" t="str">
        <f aca="false">IF(LARGE(Scoring!$U$2:$U$151,$A81)&lt;0,"",INDEX(PriceMetrics!$B$2:$B$151,MATCH(LARGE(Scoring!$U$2:$U$151,$A81),Scoring!$U$2:$U$151,0)))</f>
        <v/>
      </c>
      <c r="L81" s="5" t="str">
        <f aca="false">IF(LARGE(Scoring!$U$2:$U$151,$A81)&lt;0,"",INDEX(Fundamentals!$C$2:$C$151,MATCH(LARGE(Scoring!$U$2:$U$151,$A81),Scoring!$U$2:$U$151,0)))</f>
        <v/>
      </c>
      <c r="M81" s="12" t="str">
        <f aca="false">IF(LARGE(Scoring!$U$2:$U$151,$A81)&lt;0,"",INDEX(Fundamentals!$F$2:$F$151,MATCH(LARGE(Scoring!$U$2:$U$151,$A81),Scoring!$U$2:$U$151,0)))</f>
        <v/>
      </c>
      <c r="N81" s="12" t="str">
        <f aca="false">IF(LARGE(Scoring!$U$2:$U$151,$A81)&lt;0,"",INDEX(PriceMetrics!$P$2:$P$151,MATCH(LARGE(Scoring!$U$2:$U$151,$A81),Scoring!$U$2:$U$151,0)))</f>
        <v/>
      </c>
    </row>
    <row r="82" customFormat="false" ht="15" hidden="false" customHeight="false" outlineLevel="0" collapsed="false">
      <c r="A82" s="3" t="n">
        <v>81</v>
      </c>
      <c r="B82" s="3" t="str">
        <f aca="false">IF(LARGE(Scoring!$U$2:$U$151,$A82)&lt;0,"",INDEX(Scoring!$A$2:$A$151,MATCH(LARGE(Scoring!$U$2:$U$151,$A82),Scoring!$U$2:$U$151,0)))</f>
        <v/>
      </c>
      <c r="C82" s="3" t="str">
        <f aca="false">IF(LARGE(Scoring!$U$2:$U$151,$A82)&lt;0,"",INDEX(Tickers!$B$2:$B$151,MATCH(LARGE(Scoring!$U$2:$U$151,$A82),Scoring!$U$2:$U$151,0)))</f>
        <v/>
      </c>
      <c r="D82" s="3" t="str">
        <f aca="false">IF(LARGE(Scoring!$U$2:$U$151,$A82)&lt;0,"",INDEX(Tickers!$D$2:$D$151,MATCH(LARGE(Scoring!$U$2:$U$151,$A82),Scoring!$U$2:$U$151,0)))</f>
        <v/>
      </c>
      <c r="E82" s="3" t="str">
        <f aca="false">IF(LARGE(Scoring!$U$2:$U$151,$A82)&lt;0,"",INDEX(Tickers!$C$2:$C$151,MATCH(LARGE(Scoring!$U$2:$U$151,$A82),Scoring!$U$2:$U$151,0)))</f>
        <v/>
      </c>
      <c r="F82" s="5" t="str">
        <f aca="false">IF(LARGE(Scoring!$U$2:$U$151,$A82)&lt;0,"",INDEX(Scoring!$M$2:$M$151,MATCH(LARGE(Scoring!$U$2:$U$151,$A82),Scoring!$U$2:$U$151,0)))</f>
        <v/>
      </c>
      <c r="G82" s="3" t="str">
        <f aca="false">IF(LARGE(Scoring!$U$2:$U$151,$A82)&lt;0,"",INDEX(Scoring!$P$2:$P$151,MATCH(LARGE(Scoring!$U$2:$U$151,$A82),Scoring!$U$2:$U$151,0)))</f>
        <v/>
      </c>
      <c r="H82" s="3" t="str">
        <f aca="false">IF(LARGE(Scoring!$U$2:$U$151,$A82)&lt;0,"",INDEX(Scoring!$Q$2:$Q$151,MATCH(LARGE(Scoring!$U$2:$U$151,$A82),Scoring!$U$2:$U$151,0)))</f>
        <v/>
      </c>
      <c r="I82" s="12" t="str">
        <f aca="false">IF(LARGE(Scoring!$U$2:$U$151,$A82)&lt;0,"",INDEX(Scoring!$R$2:$R$151,MATCH(LARGE(Scoring!$U$2:$U$151,$A82),Scoring!$U$2:$U$151,0)))</f>
        <v/>
      </c>
      <c r="J82" s="3" t="str">
        <f aca="false">IF(LARGE(Scoring!$U$2:$U$151,$A82)&lt;0,"",INDEX(Scoring!$S$2:$S$151,MATCH(LARGE(Scoring!$U$2:$U$151,$A82),Scoring!$U$2:$U$151,0)))</f>
        <v/>
      </c>
      <c r="K82" s="20" t="str">
        <f aca="false">IF(LARGE(Scoring!$U$2:$U$151,$A82)&lt;0,"",INDEX(PriceMetrics!$B$2:$B$151,MATCH(LARGE(Scoring!$U$2:$U$151,$A82),Scoring!$U$2:$U$151,0)))</f>
        <v/>
      </c>
      <c r="L82" s="5" t="str">
        <f aca="false">IF(LARGE(Scoring!$U$2:$U$151,$A82)&lt;0,"",INDEX(Fundamentals!$C$2:$C$151,MATCH(LARGE(Scoring!$U$2:$U$151,$A82),Scoring!$U$2:$U$151,0)))</f>
        <v/>
      </c>
      <c r="M82" s="12" t="str">
        <f aca="false">IF(LARGE(Scoring!$U$2:$U$151,$A82)&lt;0,"",INDEX(Fundamentals!$F$2:$F$151,MATCH(LARGE(Scoring!$U$2:$U$151,$A82),Scoring!$U$2:$U$151,0)))</f>
        <v/>
      </c>
      <c r="N82" s="12" t="str">
        <f aca="false">IF(LARGE(Scoring!$U$2:$U$151,$A82)&lt;0,"",INDEX(PriceMetrics!$P$2:$P$151,MATCH(LARGE(Scoring!$U$2:$U$151,$A82),Scoring!$U$2:$U$151,0)))</f>
        <v/>
      </c>
    </row>
    <row r="83" customFormat="false" ht="15" hidden="false" customHeight="false" outlineLevel="0" collapsed="false">
      <c r="A83" s="3" t="n">
        <v>82</v>
      </c>
      <c r="B83" s="3" t="str">
        <f aca="false">IF(LARGE(Scoring!$U$2:$U$151,$A83)&lt;0,"",INDEX(Scoring!$A$2:$A$151,MATCH(LARGE(Scoring!$U$2:$U$151,$A83),Scoring!$U$2:$U$151,0)))</f>
        <v/>
      </c>
      <c r="C83" s="3" t="str">
        <f aca="false">IF(LARGE(Scoring!$U$2:$U$151,$A83)&lt;0,"",INDEX(Tickers!$B$2:$B$151,MATCH(LARGE(Scoring!$U$2:$U$151,$A83),Scoring!$U$2:$U$151,0)))</f>
        <v/>
      </c>
      <c r="D83" s="3" t="str">
        <f aca="false">IF(LARGE(Scoring!$U$2:$U$151,$A83)&lt;0,"",INDEX(Tickers!$D$2:$D$151,MATCH(LARGE(Scoring!$U$2:$U$151,$A83),Scoring!$U$2:$U$151,0)))</f>
        <v/>
      </c>
      <c r="E83" s="3" t="str">
        <f aca="false">IF(LARGE(Scoring!$U$2:$U$151,$A83)&lt;0,"",INDEX(Tickers!$C$2:$C$151,MATCH(LARGE(Scoring!$U$2:$U$151,$A83),Scoring!$U$2:$U$151,0)))</f>
        <v/>
      </c>
      <c r="F83" s="5" t="str">
        <f aca="false">IF(LARGE(Scoring!$U$2:$U$151,$A83)&lt;0,"",INDEX(Scoring!$M$2:$M$151,MATCH(LARGE(Scoring!$U$2:$U$151,$A83),Scoring!$U$2:$U$151,0)))</f>
        <v/>
      </c>
      <c r="G83" s="3" t="str">
        <f aca="false">IF(LARGE(Scoring!$U$2:$U$151,$A83)&lt;0,"",INDEX(Scoring!$P$2:$P$151,MATCH(LARGE(Scoring!$U$2:$U$151,$A83),Scoring!$U$2:$U$151,0)))</f>
        <v/>
      </c>
      <c r="H83" s="3" t="str">
        <f aca="false">IF(LARGE(Scoring!$U$2:$U$151,$A83)&lt;0,"",INDEX(Scoring!$Q$2:$Q$151,MATCH(LARGE(Scoring!$U$2:$U$151,$A83),Scoring!$U$2:$U$151,0)))</f>
        <v/>
      </c>
      <c r="I83" s="12" t="str">
        <f aca="false">IF(LARGE(Scoring!$U$2:$U$151,$A83)&lt;0,"",INDEX(Scoring!$R$2:$R$151,MATCH(LARGE(Scoring!$U$2:$U$151,$A83),Scoring!$U$2:$U$151,0)))</f>
        <v/>
      </c>
      <c r="J83" s="3" t="str">
        <f aca="false">IF(LARGE(Scoring!$U$2:$U$151,$A83)&lt;0,"",INDEX(Scoring!$S$2:$S$151,MATCH(LARGE(Scoring!$U$2:$U$151,$A83),Scoring!$U$2:$U$151,0)))</f>
        <v/>
      </c>
      <c r="K83" s="20" t="str">
        <f aca="false">IF(LARGE(Scoring!$U$2:$U$151,$A83)&lt;0,"",INDEX(PriceMetrics!$B$2:$B$151,MATCH(LARGE(Scoring!$U$2:$U$151,$A83),Scoring!$U$2:$U$151,0)))</f>
        <v/>
      </c>
      <c r="L83" s="5" t="str">
        <f aca="false">IF(LARGE(Scoring!$U$2:$U$151,$A83)&lt;0,"",INDEX(Fundamentals!$C$2:$C$151,MATCH(LARGE(Scoring!$U$2:$U$151,$A83),Scoring!$U$2:$U$151,0)))</f>
        <v/>
      </c>
      <c r="M83" s="12" t="str">
        <f aca="false">IF(LARGE(Scoring!$U$2:$U$151,$A83)&lt;0,"",INDEX(Fundamentals!$F$2:$F$151,MATCH(LARGE(Scoring!$U$2:$U$151,$A83),Scoring!$U$2:$U$151,0)))</f>
        <v/>
      </c>
      <c r="N83" s="12" t="str">
        <f aca="false">IF(LARGE(Scoring!$U$2:$U$151,$A83)&lt;0,"",INDEX(PriceMetrics!$P$2:$P$151,MATCH(LARGE(Scoring!$U$2:$U$151,$A83),Scoring!$U$2:$U$151,0)))</f>
        <v/>
      </c>
    </row>
    <row r="84" customFormat="false" ht="15" hidden="false" customHeight="false" outlineLevel="0" collapsed="false">
      <c r="A84" s="3" t="n">
        <v>83</v>
      </c>
      <c r="B84" s="3" t="str">
        <f aca="false">IF(LARGE(Scoring!$U$2:$U$151,$A84)&lt;0,"",INDEX(Scoring!$A$2:$A$151,MATCH(LARGE(Scoring!$U$2:$U$151,$A84),Scoring!$U$2:$U$151,0)))</f>
        <v/>
      </c>
      <c r="C84" s="3" t="str">
        <f aca="false">IF(LARGE(Scoring!$U$2:$U$151,$A84)&lt;0,"",INDEX(Tickers!$B$2:$B$151,MATCH(LARGE(Scoring!$U$2:$U$151,$A84),Scoring!$U$2:$U$151,0)))</f>
        <v/>
      </c>
      <c r="D84" s="3" t="str">
        <f aca="false">IF(LARGE(Scoring!$U$2:$U$151,$A84)&lt;0,"",INDEX(Tickers!$D$2:$D$151,MATCH(LARGE(Scoring!$U$2:$U$151,$A84),Scoring!$U$2:$U$151,0)))</f>
        <v/>
      </c>
      <c r="E84" s="3" t="str">
        <f aca="false">IF(LARGE(Scoring!$U$2:$U$151,$A84)&lt;0,"",INDEX(Tickers!$C$2:$C$151,MATCH(LARGE(Scoring!$U$2:$U$151,$A84),Scoring!$U$2:$U$151,0)))</f>
        <v/>
      </c>
      <c r="F84" s="5" t="str">
        <f aca="false">IF(LARGE(Scoring!$U$2:$U$151,$A84)&lt;0,"",INDEX(Scoring!$M$2:$M$151,MATCH(LARGE(Scoring!$U$2:$U$151,$A84),Scoring!$U$2:$U$151,0)))</f>
        <v/>
      </c>
      <c r="G84" s="3" t="str">
        <f aca="false">IF(LARGE(Scoring!$U$2:$U$151,$A84)&lt;0,"",INDEX(Scoring!$P$2:$P$151,MATCH(LARGE(Scoring!$U$2:$U$151,$A84),Scoring!$U$2:$U$151,0)))</f>
        <v/>
      </c>
      <c r="H84" s="3" t="str">
        <f aca="false">IF(LARGE(Scoring!$U$2:$U$151,$A84)&lt;0,"",INDEX(Scoring!$Q$2:$Q$151,MATCH(LARGE(Scoring!$U$2:$U$151,$A84),Scoring!$U$2:$U$151,0)))</f>
        <v/>
      </c>
      <c r="I84" s="12" t="str">
        <f aca="false">IF(LARGE(Scoring!$U$2:$U$151,$A84)&lt;0,"",INDEX(Scoring!$R$2:$R$151,MATCH(LARGE(Scoring!$U$2:$U$151,$A84),Scoring!$U$2:$U$151,0)))</f>
        <v/>
      </c>
      <c r="J84" s="3" t="str">
        <f aca="false">IF(LARGE(Scoring!$U$2:$U$151,$A84)&lt;0,"",INDEX(Scoring!$S$2:$S$151,MATCH(LARGE(Scoring!$U$2:$U$151,$A84),Scoring!$U$2:$U$151,0)))</f>
        <v/>
      </c>
      <c r="K84" s="20" t="str">
        <f aca="false">IF(LARGE(Scoring!$U$2:$U$151,$A84)&lt;0,"",INDEX(PriceMetrics!$B$2:$B$151,MATCH(LARGE(Scoring!$U$2:$U$151,$A84),Scoring!$U$2:$U$151,0)))</f>
        <v/>
      </c>
      <c r="L84" s="5" t="str">
        <f aca="false">IF(LARGE(Scoring!$U$2:$U$151,$A84)&lt;0,"",INDEX(Fundamentals!$C$2:$C$151,MATCH(LARGE(Scoring!$U$2:$U$151,$A84),Scoring!$U$2:$U$151,0)))</f>
        <v/>
      </c>
      <c r="M84" s="12" t="str">
        <f aca="false">IF(LARGE(Scoring!$U$2:$U$151,$A84)&lt;0,"",INDEX(Fundamentals!$F$2:$F$151,MATCH(LARGE(Scoring!$U$2:$U$151,$A84),Scoring!$U$2:$U$151,0)))</f>
        <v/>
      </c>
      <c r="N84" s="12" t="str">
        <f aca="false">IF(LARGE(Scoring!$U$2:$U$151,$A84)&lt;0,"",INDEX(PriceMetrics!$P$2:$P$151,MATCH(LARGE(Scoring!$U$2:$U$151,$A84),Scoring!$U$2:$U$151,0)))</f>
        <v/>
      </c>
    </row>
    <row r="85" customFormat="false" ht="15" hidden="false" customHeight="false" outlineLevel="0" collapsed="false">
      <c r="A85" s="3" t="n">
        <v>84</v>
      </c>
      <c r="B85" s="3" t="str">
        <f aca="false">IF(LARGE(Scoring!$U$2:$U$151,$A85)&lt;0,"",INDEX(Scoring!$A$2:$A$151,MATCH(LARGE(Scoring!$U$2:$U$151,$A85),Scoring!$U$2:$U$151,0)))</f>
        <v/>
      </c>
      <c r="C85" s="3" t="str">
        <f aca="false">IF(LARGE(Scoring!$U$2:$U$151,$A85)&lt;0,"",INDEX(Tickers!$B$2:$B$151,MATCH(LARGE(Scoring!$U$2:$U$151,$A85),Scoring!$U$2:$U$151,0)))</f>
        <v/>
      </c>
      <c r="D85" s="3" t="str">
        <f aca="false">IF(LARGE(Scoring!$U$2:$U$151,$A85)&lt;0,"",INDEX(Tickers!$D$2:$D$151,MATCH(LARGE(Scoring!$U$2:$U$151,$A85),Scoring!$U$2:$U$151,0)))</f>
        <v/>
      </c>
      <c r="E85" s="3" t="str">
        <f aca="false">IF(LARGE(Scoring!$U$2:$U$151,$A85)&lt;0,"",INDEX(Tickers!$C$2:$C$151,MATCH(LARGE(Scoring!$U$2:$U$151,$A85),Scoring!$U$2:$U$151,0)))</f>
        <v/>
      </c>
      <c r="F85" s="5" t="str">
        <f aca="false">IF(LARGE(Scoring!$U$2:$U$151,$A85)&lt;0,"",INDEX(Scoring!$M$2:$M$151,MATCH(LARGE(Scoring!$U$2:$U$151,$A85),Scoring!$U$2:$U$151,0)))</f>
        <v/>
      </c>
      <c r="G85" s="3" t="str">
        <f aca="false">IF(LARGE(Scoring!$U$2:$U$151,$A85)&lt;0,"",INDEX(Scoring!$P$2:$P$151,MATCH(LARGE(Scoring!$U$2:$U$151,$A85),Scoring!$U$2:$U$151,0)))</f>
        <v/>
      </c>
      <c r="H85" s="3" t="str">
        <f aca="false">IF(LARGE(Scoring!$U$2:$U$151,$A85)&lt;0,"",INDEX(Scoring!$Q$2:$Q$151,MATCH(LARGE(Scoring!$U$2:$U$151,$A85),Scoring!$U$2:$U$151,0)))</f>
        <v/>
      </c>
      <c r="I85" s="12" t="str">
        <f aca="false">IF(LARGE(Scoring!$U$2:$U$151,$A85)&lt;0,"",INDEX(Scoring!$R$2:$R$151,MATCH(LARGE(Scoring!$U$2:$U$151,$A85),Scoring!$U$2:$U$151,0)))</f>
        <v/>
      </c>
      <c r="J85" s="3" t="str">
        <f aca="false">IF(LARGE(Scoring!$U$2:$U$151,$A85)&lt;0,"",INDEX(Scoring!$S$2:$S$151,MATCH(LARGE(Scoring!$U$2:$U$151,$A85),Scoring!$U$2:$U$151,0)))</f>
        <v/>
      </c>
      <c r="K85" s="20" t="str">
        <f aca="false">IF(LARGE(Scoring!$U$2:$U$151,$A85)&lt;0,"",INDEX(PriceMetrics!$B$2:$B$151,MATCH(LARGE(Scoring!$U$2:$U$151,$A85),Scoring!$U$2:$U$151,0)))</f>
        <v/>
      </c>
      <c r="L85" s="5" t="str">
        <f aca="false">IF(LARGE(Scoring!$U$2:$U$151,$A85)&lt;0,"",INDEX(Fundamentals!$C$2:$C$151,MATCH(LARGE(Scoring!$U$2:$U$151,$A85),Scoring!$U$2:$U$151,0)))</f>
        <v/>
      </c>
      <c r="M85" s="12" t="str">
        <f aca="false">IF(LARGE(Scoring!$U$2:$U$151,$A85)&lt;0,"",INDEX(Fundamentals!$F$2:$F$151,MATCH(LARGE(Scoring!$U$2:$U$151,$A85),Scoring!$U$2:$U$151,0)))</f>
        <v/>
      </c>
      <c r="N85" s="12" t="str">
        <f aca="false">IF(LARGE(Scoring!$U$2:$U$151,$A85)&lt;0,"",INDEX(PriceMetrics!$P$2:$P$151,MATCH(LARGE(Scoring!$U$2:$U$151,$A85),Scoring!$U$2:$U$151,0)))</f>
        <v/>
      </c>
    </row>
    <row r="86" customFormat="false" ht="15" hidden="false" customHeight="false" outlineLevel="0" collapsed="false">
      <c r="A86" s="3" t="n">
        <v>85</v>
      </c>
      <c r="B86" s="3" t="str">
        <f aca="false">IF(LARGE(Scoring!$U$2:$U$151,$A86)&lt;0,"",INDEX(Scoring!$A$2:$A$151,MATCH(LARGE(Scoring!$U$2:$U$151,$A86),Scoring!$U$2:$U$151,0)))</f>
        <v/>
      </c>
      <c r="C86" s="3" t="str">
        <f aca="false">IF(LARGE(Scoring!$U$2:$U$151,$A86)&lt;0,"",INDEX(Tickers!$B$2:$B$151,MATCH(LARGE(Scoring!$U$2:$U$151,$A86),Scoring!$U$2:$U$151,0)))</f>
        <v/>
      </c>
      <c r="D86" s="3" t="str">
        <f aca="false">IF(LARGE(Scoring!$U$2:$U$151,$A86)&lt;0,"",INDEX(Tickers!$D$2:$D$151,MATCH(LARGE(Scoring!$U$2:$U$151,$A86),Scoring!$U$2:$U$151,0)))</f>
        <v/>
      </c>
      <c r="E86" s="3" t="str">
        <f aca="false">IF(LARGE(Scoring!$U$2:$U$151,$A86)&lt;0,"",INDEX(Tickers!$C$2:$C$151,MATCH(LARGE(Scoring!$U$2:$U$151,$A86),Scoring!$U$2:$U$151,0)))</f>
        <v/>
      </c>
      <c r="F86" s="5" t="str">
        <f aca="false">IF(LARGE(Scoring!$U$2:$U$151,$A86)&lt;0,"",INDEX(Scoring!$M$2:$M$151,MATCH(LARGE(Scoring!$U$2:$U$151,$A86),Scoring!$U$2:$U$151,0)))</f>
        <v/>
      </c>
      <c r="G86" s="3" t="str">
        <f aca="false">IF(LARGE(Scoring!$U$2:$U$151,$A86)&lt;0,"",INDEX(Scoring!$P$2:$P$151,MATCH(LARGE(Scoring!$U$2:$U$151,$A86),Scoring!$U$2:$U$151,0)))</f>
        <v/>
      </c>
      <c r="H86" s="3" t="str">
        <f aca="false">IF(LARGE(Scoring!$U$2:$U$151,$A86)&lt;0,"",INDEX(Scoring!$Q$2:$Q$151,MATCH(LARGE(Scoring!$U$2:$U$151,$A86),Scoring!$U$2:$U$151,0)))</f>
        <v/>
      </c>
      <c r="I86" s="12" t="str">
        <f aca="false">IF(LARGE(Scoring!$U$2:$U$151,$A86)&lt;0,"",INDEX(Scoring!$R$2:$R$151,MATCH(LARGE(Scoring!$U$2:$U$151,$A86),Scoring!$U$2:$U$151,0)))</f>
        <v/>
      </c>
      <c r="J86" s="3" t="str">
        <f aca="false">IF(LARGE(Scoring!$U$2:$U$151,$A86)&lt;0,"",INDEX(Scoring!$S$2:$S$151,MATCH(LARGE(Scoring!$U$2:$U$151,$A86),Scoring!$U$2:$U$151,0)))</f>
        <v/>
      </c>
      <c r="K86" s="20" t="str">
        <f aca="false">IF(LARGE(Scoring!$U$2:$U$151,$A86)&lt;0,"",INDEX(PriceMetrics!$B$2:$B$151,MATCH(LARGE(Scoring!$U$2:$U$151,$A86),Scoring!$U$2:$U$151,0)))</f>
        <v/>
      </c>
      <c r="L86" s="5" t="str">
        <f aca="false">IF(LARGE(Scoring!$U$2:$U$151,$A86)&lt;0,"",INDEX(Fundamentals!$C$2:$C$151,MATCH(LARGE(Scoring!$U$2:$U$151,$A86),Scoring!$U$2:$U$151,0)))</f>
        <v/>
      </c>
      <c r="M86" s="12" t="str">
        <f aca="false">IF(LARGE(Scoring!$U$2:$U$151,$A86)&lt;0,"",INDEX(Fundamentals!$F$2:$F$151,MATCH(LARGE(Scoring!$U$2:$U$151,$A86),Scoring!$U$2:$U$151,0)))</f>
        <v/>
      </c>
      <c r="N86" s="12" t="str">
        <f aca="false">IF(LARGE(Scoring!$U$2:$U$151,$A86)&lt;0,"",INDEX(PriceMetrics!$P$2:$P$151,MATCH(LARGE(Scoring!$U$2:$U$151,$A86),Scoring!$U$2:$U$151,0)))</f>
        <v/>
      </c>
    </row>
    <row r="87" customFormat="false" ht="15" hidden="false" customHeight="false" outlineLevel="0" collapsed="false">
      <c r="A87" s="3" t="n">
        <v>86</v>
      </c>
      <c r="B87" s="3" t="str">
        <f aca="false">IF(LARGE(Scoring!$U$2:$U$151,$A87)&lt;0,"",INDEX(Scoring!$A$2:$A$151,MATCH(LARGE(Scoring!$U$2:$U$151,$A87),Scoring!$U$2:$U$151,0)))</f>
        <v/>
      </c>
      <c r="C87" s="3" t="str">
        <f aca="false">IF(LARGE(Scoring!$U$2:$U$151,$A87)&lt;0,"",INDEX(Tickers!$B$2:$B$151,MATCH(LARGE(Scoring!$U$2:$U$151,$A87),Scoring!$U$2:$U$151,0)))</f>
        <v/>
      </c>
      <c r="D87" s="3" t="str">
        <f aca="false">IF(LARGE(Scoring!$U$2:$U$151,$A87)&lt;0,"",INDEX(Tickers!$D$2:$D$151,MATCH(LARGE(Scoring!$U$2:$U$151,$A87),Scoring!$U$2:$U$151,0)))</f>
        <v/>
      </c>
      <c r="E87" s="3" t="str">
        <f aca="false">IF(LARGE(Scoring!$U$2:$U$151,$A87)&lt;0,"",INDEX(Tickers!$C$2:$C$151,MATCH(LARGE(Scoring!$U$2:$U$151,$A87),Scoring!$U$2:$U$151,0)))</f>
        <v/>
      </c>
      <c r="F87" s="5" t="str">
        <f aca="false">IF(LARGE(Scoring!$U$2:$U$151,$A87)&lt;0,"",INDEX(Scoring!$M$2:$M$151,MATCH(LARGE(Scoring!$U$2:$U$151,$A87),Scoring!$U$2:$U$151,0)))</f>
        <v/>
      </c>
      <c r="G87" s="3" t="str">
        <f aca="false">IF(LARGE(Scoring!$U$2:$U$151,$A87)&lt;0,"",INDEX(Scoring!$P$2:$P$151,MATCH(LARGE(Scoring!$U$2:$U$151,$A87),Scoring!$U$2:$U$151,0)))</f>
        <v/>
      </c>
      <c r="H87" s="3" t="str">
        <f aca="false">IF(LARGE(Scoring!$U$2:$U$151,$A87)&lt;0,"",INDEX(Scoring!$Q$2:$Q$151,MATCH(LARGE(Scoring!$U$2:$U$151,$A87),Scoring!$U$2:$U$151,0)))</f>
        <v/>
      </c>
      <c r="I87" s="12" t="str">
        <f aca="false">IF(LARGE(Scoring!$U$2:$U$151,$A87)&lt;0,"",INDEX(Scoring!$R$2:$R$151,MATCH(LARGE(Scoring!$U$2:$U$151,$A87),Scoring!$U$2:$U$151,0)))</f>
        <v/>
      </c>
      <c r="J87" s="3" t="str">
        <f aca="false">IF(LARGE(Scoring!$U$2:$U$151,$A87)&lt;0,"",INDEX(Scoring!$S$2:$S$151,MATCH(LARGE(Scoring!$U$2:$U$151,$A87),Scoring!$U$2:$U$151,0)))</f>
        <v/>
      </c>
      <c r="K87" s="20" t="str">
        <f aca="false">IF(LARGE(Scoring!$U$2:$U$151,$A87)&lt;0,"",INDEX(PriceMetrics!$B$2:$B$151,MATCH(LARGE(Scoring!$U$2:$U$151,$A87),Scoring!$U$2:$U$151,0)))</f>
        <v/>
      </c>
      <c r="L87" s="5" t="str">
        <f aca="false">IF(LARGE(Scoring!$U$2:$U$151,$A87)&lt;0,"",INDEX(Fundamentals!$C$2:$C$151,MATCH(LARGE(Scoring!$U$2:$U$151,$A87),Scoring!$U$2:$U$151,0)))</f>
        <v/>
      </c>
      <c r="M87" s="12" t="str">
        <f aca="false">IF(LARGE(Scoring!$U$2:$U$151,$A87)&lt;0,"",INDEX(Fundamentals!$F$2:$F$151,MATCH(LARGE(Scoring!$U$2:$U$151,$A87),Scoring!$U$2:$U$151,0)))</f>
        <v/>
      </c>
      <c r="N87" s="12" t="str">
        <f aca="false">IF(LARGE(Scoring!$U$2:$U$151,$A87)&lt;0,"",INDEX(PriceMetrics!$P$2:$P$151,MATCH(LARGE(Scoring!$U$2:$U$151,$A87),Scoring!$U$2:$U$151,0)))</f>
        <v/>
      </c>
    </row>
    <row r="88" customFormat="false" ht="15" hidden="false" customHeight="false" outlineLevel="0" collapsed="false">
      <c r="A88" s="3" t="n">
        <v>87</v>
      </c>
      <c r="B88" s="3" t="str">
        <f aca="false">IF(LARGE(Scoring!$U$2:$U$151,$A88)&lt;0,"",INDEX(Scoring!$A$2:$A$151,MATCH(LARGE(Scoring!$U$2:$U$151,$A88),Scoring!$U$2:$U$151,0)))</f>
        <v/>
      </c>
      <c r="C88" s="3" t="str">
        <f aca="false">IF(LARGE(Scoring!$U$2:$U$151,$A88)&lt;0,"",INDEX(Tickers!$B$2:$B$151,MATCH(LARGE(Scoring!$U$2:$U$151,$A88),Scoring!$U$2:$U$151,0)))</f>
        <v/>
      </c>
      <c r="D88" s="3" t="str">
        <f aca="false">IF(LARGE(Scoring!$U$2:$U$151,$A88)&lt;0,"",INDEX(Tickers!$D$2:$D$151,MATCH(LARGE(Scoring!$U$2:$U$151,$A88),Scoring!$U$2:$U$151,0)))</f>
        <v/>
      </c>
      <c r="E88" s="3" t="str">
        <f aca="false">IF(LARGE(Scoring!$U$2:$U$151,$A88)&lt;0,"",INDEX(Tickers!$C$2:$C$151,MATCH(LARGE(Scoring!$U$2:$U$151,$A88),Scoring!$U$2:$U$151,0)))</f>
        <v/>
      </c>
      <c r="F88" s="5" t="str">
        <f aca="false">IF(LARGE(Scoring!$U$2:$U$151,$A88)&lt;0,"",INDEX(Scoring!$M$2:$M$151,MATCH(LARGE(Scoring!$U$2:$U$151,$A88),Scoring!$U$2:$U$151,0)))</f>
        <v/>
      </c>
      <c r="G88" s="3" t="str">
        <f aca="false">IF(LARGE(Scoring!$U$2:$U$151,$A88)&lt;0,"",INDEX(Scoring!$P$2:$P$151,MATCH(LARGE(Scoring!$U$2:$U$151,$A88),Scoring!$U$2:$U$151,0)))</f>
        <v/>
      </c>
      <c r="H88" s="3" t="str">
        <f aca="false">IF(LARGE(Scoring!$U$2:$U$151,$A88)&lt;0,"",INDEX(Scoring!$Q$2:$Q$151,MATCH(LARGE(Scoring!$U$2:$U$151,$A88),Scoring!$U$2:$U$151,0)))</f>
        <v/>
      </c>
      <c r="I88" s="12" t="str">
        <f aca="false">IF(LARGE(Scoring!$U$2:$U$151,$A88)&lt;0,"",INDEX(Scoring!$R$2:$R$151,MATCH(LARGE(Scoring!$U$2:$U$151,$A88),Scoring!$U$2:$U$151,0)))</f>
        <v/>
      </c>
      <c r="J88" s="3" t="str">
        <f aca="false">IF(LARGE(Scoring!$U$2:$U$151,$A88)&lt;0,"",INDEX(Scoring!$S$2:$S$151,MATCH(LARGE(Scoring!$U$2:$U$151,$A88),Scoring!$U$2:$U$151,0)))</f>
        <v/>
      </c>
      <c r="K88" s="20" t="str">
        <f aca="false">IF(LARGE(Scoring!$U$2:$U$151,$A88)&lt;0,"",INDEX(PriceMetrics!$B$2:$B$151,MATCH(LARGE(Scoring!$U$2:$U$151,$A88),Scoring!$U$2:$U$151,0)))</f>
        <v/>
      </c>
      <c r="L88" s="5" t="str">
        <f aca="false">IF(LARGE(Scoring!$U$2:$U$151,$A88)&lt;0,"",INDEX(Fundamentals!$C$2:$C$151,MATCH(LARGE(Scoring!$U$2:$U$151,$A88),Scoring!$U$2:$U$151,0)))</f>
        <v/>
      </c>
      <c r="M88" s="12" t="str">
        <f aca="false">IF(LARGE(Scoring!$U$2:$U$151,$A88)&lt;0,"",INDEX(Fundamentals!$F$2:$F$151,MATCH(LARGE(Scoring!$U$2:$U$151,$A88),Scoring!$U$2:$U$151,0)))</f>
        <v/>
      </c>
      <c r="N88" s="12" t="str">
        <f aca="false">IF(LARGE(Scoring!$U$2:$U$151,$A88)&lt;0,"",INDEX(PriceMetrics!$P$2:$P$151,MATCH(LARGE(Scoring!$U$2:$U$151,$A88),Scoring!$U$2:$U$151,0)))</f>
        <v/>
      </c>
    </row>
    <row r="89" customFormat="false" ht="15" hidden="false" customHeight="false" outlineLevel="0" collapsed="false">
      <c r="A89" s="3" t="n">
        <v>88</v>
      </c>
      <c r="B89" s="3" t="str">
        <f aca="false">IF(LARGE(Scoring!$U$2:$U$151,$A89)&lt;0,"",INDEX(Scoring!$A$2:$A$151,MATCH(LARGE(Scoring!$U$2:$U$151,$A89),Scoring!$U$2:$U$151,0)))</f>
        <v/>
      </c>
      <c r="C89" s="3" t="str">
        <f aca="false">IF(LARGE(Scoring!$U$2:$U$151,$A89)&lt;0,"",INDEX(Tickers!$B$2:$B$151,MATCH(LARGE(Scoring!$U$2:$U$151,$A89),Scoring!$U$2:$U$151,0)))</f>
        <v/>
      </c>
      <c r="D89" s="3" t="str">
        <f aca="false">IF(LARGE(Scoring!$U$2:$U$151,$A89)&lt;0,"",INDEX(Tickers!$D$2:$D$151,MATCH(LARGE(Scoring!$U$2:$U$151,$A89),Scoring!$U$2:$U$151,0)))</f>
        <v/>
      </c>
      <c r="E89" s="3" t="str">
        <f aca="false">IF(LARGE(Scoring!$U$2:$U$151,$A89)&lt;0,"",INDEX(Tickers!$C$2:$C$151,MATCH(LARGE(Scoring!$U$2:$U$151,$A89),Scoring!$U$2:$U$151,0)))</f>
        <v/>
      </c>
      <c r="F89" s="5" t="str">
        <f aca="false">IF(LARGE(Scoring!$U$2:$U$151,$A89)&lt;0,"",INDEX(Scoring!$M$2:$M$151,MATCH(LARGE(Scoring!$U$2:$U$151,$A89),Scoring!$U$2:$U$151,0)))</f>
        <v/>
      </c>
      <c r="G89" s="3" t="str">
        <f aca="false">IF(LARGE(Scoring!$U$2:$U$151,$A89)&lt;0,"",INDEX(Scoring!$P$2:$P$151,MATCH(LARGE(Scoring!$U$2:$U$151,$A89),Scoring!$U$2:$U$151,0)))</f>
        <v/>
      </c>
      <c r="H89" s="3" t="str">
        <f aca="false">IF(LARGE(Scoring!$U$2:$U$151,$A89)&lt;0,"",INDEX(Scoring!$Q$2:$Q$151,MATCH(LARGE(Scoring!$U$2:$U$151,$A89),Scoring!$U$2:$U$151,0)))</f>
        <v/>
      </c>
      <c r="I89" s="12" t="str">
        <f aca="false">IF(LARGE(Scoring!$U$2:$U$151,$A89)&lt;0,"",INDEX(Scoring!$R$2:$R$151,MATCH(LARGE(Scoring!$U$2:$U$151,$A89),Scoring!$U$2:$U$151,0)))</f>
        <v/>
      </c>
      <c r="J89" s="3" t="str">
        <f aca="false">IF(LARGE(Scoring!$U$2:$U$151,$A89)&lt;0,"",INDEX(Scoring!$S$2:$S$151,MATCH(LARGE(Scoring!$U$2:$U$151,$A89),Scoring!$U$2:$U$151,0)))</f>
        <v/>
      </c>
      <c r="K89" s="20" t="str">
        <f aca="false">IF(LARGE(Scoring!$U$2:$U$151,$A89)&lt;0,"",INDEX(PriceMetrics!$B$2:$B$151,MATCH(LARGE(Scoring!$U$2:$U$151,$A89),Scoring!$U$2:$U$151,0)))</f>
        <v/>
      </c>
      <c r="L89" s="5" t="str">
        <f aca="false">IF(LARGE(Scoring!$U$2:$U$151,$A89)&lt;0,"",INDEX(Fundamentals!$C$2:$C$151,MATCH(LARGE(Scoring!$U$2:$U$151,$A89),Scoring!$U$2:$U$151,0)))</f>
        <v/>
      </c>
      <c r="M89" s="12" t="str">
        <f aca="false">IF(LARGE(Scoring!$U$2:$U$151,$A89)&lt;0,"",INDEX(Fundamentals!$F$2:$F$151,MATCH(LARGE(Scoring!$U$2:$U$151,$A89),Scoring!$U$2:$U$151,0)))</f>
        <v/>
      </c>
      <c r="N89" s="12" t="str">
        <f aca="false">IF(LARGE(Scoring!$U$2:$U$151,$A89)&lt;0,"",INDEX(PriceMetrics!$P$2:$P$151,MATCH(LARGE(Scoring!$U$2:$U$151,$A89),Scoring!$U$2:$U$151,0)))</f>
        <v/>
      </c>
    </row>
    <row r="90" customFormat="false" ht="15" hidden="false" customHeight="false" outlineLevel="0" collapsed="false">
      <c r="A90" s="3" t="n">
        <v>89</v>
      </c>
      <c r="B90" s="3" t="str">
        <f aca="false">IF(LARGE(Scoring!$U$2:$U$151,$A90)&lt;0,"",INDEX(Scoring!$A$2:$A$151,MATCH(LARGE(Scoring!$U$2:$U$151,$A90),Scoring!$U$2:$U$151,0)))</f>
        <v/>
      </c>
      <c r="C90" s="3" t="str">
        <f aca="false">IF(LARGE(Scoring!$U$2:$U$151,$A90)&lt;0,"",INDEX(Tickers!$B$2:$B$151,MATCH(LARGE(Scoring!$U$2:$U$151,$A90),Scoring!$U$2:$U$151,0)))</f>
        <v/>
      </c>
      <c r="D90" s="3" t="str">
        <f aca="false">IF(LARGE(Scoring!$U$2:$U$151,$A90)&lt;0,"",INDEX(Tickers!$D$2:$D$151,MATCH(LARGE(Scoring!$U$2:$U$151,$A90),Scoring!$U$2:$U$151,0)))</f>
        <v/>
      </c>
      <c r="E90" s="3" t="str">
        <f aca="false">IF(LARGE(Scoring!$U$2:$U$151,$A90)&lt;0,"",INDEX(Tickers!$C$2:$C$151,MATCH(LARGE(Scoring!$U$2:$U$151,$A90),Scoring!$U$2:$U$151,0)))</f>
        <v/>
      </c>
      <c r="F90" s="5" t="str">
        <f aca="false">IF(LARGE(Scoring!$U$2:$U$151,$A90)&lt;0,"",INDEX(Scoring!$M$2:$M$151,MATCH(LARGE(Scoring!$U$2:$U$151,$A90),Scoring!$U$2:$U$151,0)))</f>
        <v/>
      </c>
      <c r="G90" s="3" t="str">
        <f aca="false">IF(LARGE(Scoring!$U$2:$U$151,$A90)&lt;0,"",INDEX(Scoring!$P$2:$P$151,MATCH(LARGE(Scoring!$U$2:$U$151,$A90),Scoring!$U$2:$U$151,0)))</f>
        <v/>
      </c>
      <c r="H90" s="3" t="str">
        <f aca="false">IF(LARGE(Scoring!$U$2:$U$151,$A90)&lt;0,"",INDEX(Scoring!$Q$2:$Q$151,MATCH(LARGE(Scoring!$U$2:$U$151,$A90),Scoring!$U$2:$U$151,0)))</f>
        <v/>
      </c>
      <c r="I90" s="12" t="str">
        <f aca="false">IF(LARGE(Scoring!$U$2:$U$151,$A90)&lt;0,"",INDEX(Scoring!$R$2:$R$151,MATCH(LARGE(Scoring!$U$2:$U$151,$A90),Scoring!$U$2:$U$151,0)))</f>
        <v/>
      </c>
      <c r="J90" s="3" t="str">
        <f aca="false">IF(LARGE(Scoring!$U$2:$U$151,$A90)&lt;0,"",INDEX(Scoring!$S$2:$S$151,MATCH(LARGE(Scoring!$U$2:$U$151,$A90),Scoring!$U$2:$U$151,0)))</f>
        <v/>
      </c>
      <c r="K90" s="20" t="str">
        <f aca="false">IF(LARGE(Scoring!$U$2:$U$151,$A90)&lt;0,"",INDEX(PriceMetrics!$B$2:$B$151,MATCH(LARGE(Scoring!$U$2:$U$151,$A90),Scoring!$U$2:$U$151,0)))</f>
        <v/>
      </c>
      <c r="L90" s="5" t="str">
        <f aca="false">IF(LARGE(Scoring!$U$2:$U$151,$A90)&lt;0,"",INDEX(Fundamentals!$C$2:$C$151,MATCH(LARGE(Scoring!$U$2:$U$151,$A90),Scoring!$U$2:$U$151,0)))</f>
        <v/>
      </c>
      <c r="M90" s="12" t="str">
        <f aca="false">IF(LARGE(Scoring!$U$2:$U$151,$A90)&lt;0,"",INDEX(Fundamentals!$F$2:$F$151,MATCH(LARGE(Scoring!$U$2:$U$151,$A90),Scoring!$U$2:$U$151,0)))</f>
        <v/>
      </c>
      <c r="N90" s="12" t="str">
        <f aca="false">IF(LARGE(Scoring!$U$2:$U$151,$A90)&lt;0,"",INDEX(PriceMetrics!$P$2:$P$151,MATCH(LARGE(Scoring!$U$2:$U$151,$A90),Scoring!$U$2:$U$151,0)))</f>
        <v/>
      </c>
    </row>
    <row r="91" customFormat="false" ht="15" hidden="false" customHeight="false" outlineLevel="0" collapsed="false">
      <c r="A91" s="3" t="n">
        <v>90</v>
      </c>
      <c r="B91" s="3" t="str">
        <f aca="false">IF(LARGE(Scoring!$U$2:$U$151,$A91)&lt;0,"",INDEX(Scoring!$A$2:$A$151,MATCH(LARGE(Scoring!$U$2:$U$151,$A91),Scoring!$U$2:$U$151,0)))</f>
        <v/>
      </c>
      <c r="C91" s="3" t="str">
        <f aca="false">IF(LARGE(Scoring!$U$2:$U$151,$A91)&lt;0,"",INDEX(Tickers!$B$2:$B$151,MATCH(LARGE(Scoring!$U$2:$U$151,$A91),Scoring!$U$2:$U$151,0)))</f>
        <v/>
      </c>
      <c r="D91" s="3" t="str">
        <f aca="false">IF(LARGE(Scoring!$U$2:$U$151,$A91)&lt;0,"",INDEX(Tickers!$D$2:$D$151,MATCH(LARGE(Scoring!$U$2:$U$151,$A91),Scoring!$U$2:$U$151,0)))</f>
        <v/>
      </c>
      <c r="E91" s="3" t="str">
        <f aca="false">IF(LARGE(Scoring!$U$2:$U$151,$A91)&lt;0,"",INDEX(Tickers!$C$2:$C$151,MATCH(LARGE(Scoring!$U$2:$U$151,$A91),Scoring!$U$2:$U$151,0)))</f>
        <v/>
      </c>
      <c r="F91" s="5" t="str">
        <f aca="false">IF(LARGE(Scoring!$U$2:$U$151,$A91)&lt;0,"",INDEX(Scoring!$M$2:$M$151,MATCH(LARGE(Scoring!$U$2:$U$151,$A91),Scoring!$U$2:$U$151,0)))</f>
        <v/>
      </c>
      <c r="G91" s="3" t="str">
        <f aca="false">IF(LARGE(Scoring!$U$2:$U$151,$A91)&lt;0,"",INDEX(Scoring!$P$2:$P$151,MATCH(LARGE(Scoring!$U$2:$U$151,$A91),Scoring!$U$2:$U$151,0)))</f>
        <v/>
      </c>
      <c r="H91" s="3" t="str">
        <f aca="false">IF(LARGE(Scoring!$U$2:$U$151,$A91)&lt;0,"",INDEX(Scoring!$Q$2:$Q$151,MATCH(LARGE(Scoring!$U$2:$U$151,$A91),Scoring!$U$2:$U$151,0)))</f>
        <v/>
      </c>
      <c r="I91" s="12" t="str">
        <f aca="false">IF(LARGE(Scoring!$U$2:$U$151,$A91)&lt;0,"",INDEX(Scoring!$R$2:$R$151,MATCH(LARGE(Scoring!$U$2:$U$151,$A91),Scoring!$U$2:$U$151,0)))</f>
        <v/>
      </c>
      <c r="J91" s="3" t="str">
        <f aca="false">IF(LARGE(Scoring!$U$2:$U$151,$A91)&lt;0,"",INDEX(Scoring!$S$2:$S$151,MATCH(LARGE(Scoring!$U$2:$U$151,$A91),Scoring!$U$2:$U$151,0)))</f>
        <v/>
      </c>
      <c r="K91" s="20" t="str">
        <f aca="false">IF(LARGE(Scoring!$U$2:$U$151,$A91)&lt;0,"",INDEX(PriceMetrics!$B$2:$B$151,MATCH(LARGE(Scoring!$U$2:$U$151,$A91),Scoring!$U$2:$U$151,0)))</f>
        <v/>
      </c>
      <c r="L91" s="5" t="str">
        <f aca="false">IF(LARGE(Scoring!$U$2:$U$151,$A91)&lt;0,"",INDEX(Fundamentals!$C$2:$C$151,MATCH(LARGE(Scoring!$U$2:$U$151,$A91),Scoring!$U$2:$U$151,0)))</f>
        <v/>
      </c>
      <c r="M91" s="12" t="str">
        <f aca="false">IF(LARGE(Scoring!$U$2:$U$151,$A91)&lt;0,"",INDEX(Fundamentals!$F$2:$F$151,MATCH(LARGE(Scoring!$U$2:$U$151,$A91),Scoring!$U$2:$U$151,0)))</f>
        <v/>
      </c>
      <c r="N91" s="12" t="str">
        <f aca="false">IF(LARGE(Scoring!$U$2:$U$151,$A91)&lt;0,"",INDEX(PriceMetrics!$P$2:$P$151,MATCH(LARGE(Scoring!$U$2:$U$151,$A91),Scoring!$U$2:$U$151,0)))</f>
        <v/>
      </c>
    </row>
    <row r="92" customFormat="false" ht="15" hidden="false" customHeight="false" outlineLevel="0" collapsed="false">
      <c r="A92" s="3" t="n">
        <v>91</v>
      </c>
      <c r="B92" s="3" t="str">
        <f aca="false">IF(LARGE(Scoring!$U$2:$U$151,$A92)&lt;0,"",INDEX(Scoring!$A$2:$A$151,MATCH(LARGE(Scoring!$U$2:$U$151,$A92),Scoring!$U$2:$U$151,0)))</f>
        <v/>
      </c>
      <c r="C92" s="3" t="str">
        <f aca="false">IF(LARGE(Scoring!$U$2:$U$151,$A92)&lt;0,"",INDEX(Tickers!$B$2:$B$151,MATCH(LARGE(Scoring!$U$2:$U$151,$A92),Scoring!$U$2:$U$151,0)))</f>
        <v/>
      </c>
      <c r="D92" s="3" t="str">
        <f aca="false">IF(LARGE(Scoring!$U$2:$U$151,$A92)&lt;0,"",INDEX(Tickers!$D$2:$D$151,MATCH(LARGE(Scoring!$U$2:$U$151,$A92),Scoring!$U$2:$U$151,0)))</f>
        <v/>
      </c>
      <c r="E92" s="3" t="str">
        <f aca="false">IF(LARGE(Scoring!$U$2:$U$151,$A92)&lt;0,"",INDEX(Tickers!$C$2:$C$151,MATCH(LARGE(Scoring!$U$2:$U$151,$A92),Scoring!$U$2:$U$151,0)))</f>
        <v/>
      </c>
      <c r="F92" s="5" t="str">
        <f aca="false">IF(LARGE(Scoring!$U$2:$U$151,$A92)&lt;0,"",INDEX(Scoring!$M$2:$M$151,MATCH(LARGE(Scoring!$U$2:$U$151,$A92),Scoring!$U$2:$U$151,0)))</f>
        <v/>
      </c>
      <c r="G92" s="3" t="str">
        <f aca="false">IF(LARGE(Scoring!$U$2:$U$151,$A92)&lt;0,"",INDEX(Scoring!$P$2:$P$151,MATCH(LARGE(Scoring!$U$2:$U$151,$A92),Scoring!$U$2:$U$151,0)))</f>
        <v/>
      </c>
      <c r="H92" s="3" t="str">
        <f aca="false">IF(LARGE(Scoring!$U$2:$U$151,$A92)&lt;0,"",INDEX(Scoring!$Q$2:$Q$151,MATCH(LARGE(Scoring!$U$2:$U$151,$A92),Scoring!$U$2:$U$151,0)))</f>
        <v/>
      </c>
      <c r="I92" s="12" t="str">
        <f aca="false">IF(LARGE(Scoring!$U$2:$U$151,$A92)&lt;0,"",INDEX(Scoring!$R$2:$R$151,MATCH(LARGE(Scoring!$U$2:$U$151,$A92),Scoring!$U$2:$U$151,0)))</f>
        <v/>
      </c>
      <c r="J92" s="3" t="str">
        <f aca="false">IF(LARGE(Scoring!$U$2:$U$151,$A92)&lt;0,"",INDEX(Scoring!$S$2:$S$151,MATCH(LARGE(Scoring!$U$2:$U$151,$A92),Scoring!$U$2:$U$151,0)))</f>
        <v/>
      </c>
      <c r="K92" s="20" t="str">
        <f aca="false">IF(LARGE(Scoring!$U$2:$U$151,$A92)&lt;0,"",INDEX(PriceMetrics!$B$2:$B$151,MATCH(LARGE(Scoring!$U$2:$U$151,$A92),Scoring!$U$2:$U$151,0)))</f>
        <v/>
      </c>
      <c r="L92" s="5" t="str">
        <f aca="false">IF(LARGE(Scoring!$U$2:$U$151,$A92)&lt;0,"",INDEX(Fundamentals!$C$2:$C$151,MATCH(LARGE(Scoring!$U$2:$U$151,$A92),Scoring!$U$2:$U$151,0)))</f>
        <v/>
      </c>
      <c r="M92" s="12" t="str">
        <f aca="false">IF(LARGE(Scoring!$U$2:$U$151,$A92)&lt;0,"",INDEX(Fundamentals!$F$2:$F$151,MATCH(LARGE(Scoring!$U$2:$U$151,$A92),Scoring!$U$2:$U$151,0)))</f>
        <v/>
      </c>
      <c r="N92" s="12" t="str">
        <f aca="false">IF(LARGE(Scoring!$U$2:$U$151,$A92)&lt;0,"",INDEX(PriceMetrics!$P$2:$P$151,MATCH(LARGE(Scoring!$U$2:$U$151,$A92),Scoring!$U$2:$U$151,0)))</f>
        <v/>
      </c>
    </row>
    <row r="93" customFormat="false" ht="15" hidden="false" customHeight="false" outlineLevel="0" collapsed="false">
      <c r="A93" s="3" t="n">
        <v>92</v>
      </c>
      <c r="B93" s="3" t="str">
        <f aca="false">IF(LARGE(Scoring!$U$2:$U$151,$A93)&lt;0,"",INDEX(Scoring!$A$2:$A$151,MATCH(LARGE(Scoring!$U$2:$U$151,$A93),Scoring!$U$2:$U$151,0)))</f>
        <v/>
      </c>
      <c r="C93" s="3" t="str">
        <f aca="false">IF(LARGE(Scoring!$U$2:$U$151,$A93)&lt;0,"",INDEX(Tickers!$B$2:$B$151,MATCH(LARGE(Scoring!$U$2:$U$151,$A93),Scoring!$U$2:$U$151,0)))</f>
        <v/>
      </c>
      <c r="D93" s="3" t="str">
        <f aca="false">IF(LARGE(Scoring!$U$2:$U$151,$A93)&lt;0,"",INDEX(Tickers!$D$2:$D$151,MATCH(LARGE(Scoring!$U$2:$U$151,$A93),Scoring!$U$2:$U$151,0)))</f>
        <v/>
      </c>
      <c r="E93" s="3" t="str">
        <f aca="false">IF(LARGE(Scoring!$U$2:$U$151,$A93)&lt;0,"",INDEX(Tickers!$C$2:$C$151,MATCH(LARGE(Scoring!$U$2:$U$151,$A93),Scoring!$U$2:$U$151,0)))</f>
        <v/>
      </c>
      <c r="F93" s="5" t="str">
        <f aca="false">IF(LARGE(Scoring!$U$2:$U$151,$A93)&lt;0,"",INDEX(Scoring!$M$2:$M$151,MATCH(LARGE(Scoring!$U$2:$U$151,$A93),Scoring!$U$2:$U$151,0)))</f>
        <v/>
      </c>
      <c r="G93" s="3" t="str">
        <f aca="false">IF(LARGE(Scoring!$U$2:$U$151,$A93)&lt;0,"",INDEX(Scoring!$P$2:$P$151,MATCH(LARGE(Scoring!$U$2:$U$151,$A93),Scoring!$U$2:$U$151,0)))</f>
        <v/>
      </c>
      <c r="H93" s="3" t="str">
        <f aca="false">IF(LARGE(Scoring!$U$2:$U$151,$A93)&lt;0,"",INDEX(Scoring!$Q$2:$Q$151,MATCH(LARGE(Scoring!$U$2:$U$151,$A93),Scoring!$U$2:$U$151,0)))</f>
        <v/>
      </c>
      <c r="I93" s="12" t="str">
        <f aca="false">IF(LARGE(Scoring!$U$2:$U$151,$A93)&lt;0,"",INDEX(Scoring!$R$2:$R$151,MATCH(LARGE(Scoring!$U$2:$U$151,$A93),Scoring!$U$2:$U$151,0)))</f>
        <v/>
      </c>
      <c r="J93" s="3" t="str">
        <f aca="false">IF(LARGE(Scoring!$U$2:$U$151,$A93)&lt;0,"",INDEX(Scoring!$S$2:$S$151,MATCH(LARGE(Scoring!$U$2:$U$151,$A93),Scoring!$U$2:$U$151,0)))</f>
        <v/>
      </c>
      <c r="K93" s="20" t="str">
        <f aca="false">IF(LARGE(Scoring!$U$2:$U$151,$A93)&lt;0,"",INDEX(PriceMetrics!$B$2:$B$151,MATCH(LARGE(Scoring!$U$2:$U$151,$A93),Scoring!$U$2:$U$151,0)))</f>
        <v/>
      </c>
      <c r="L93" s="5" t="str">
        <f aca="false">IF(LARGE(Scoring!$U$2:$U$151,$A93)&lt;0,"",INDEX(Fundamentals!$C$2:$C$151,MATCH(LARGE(Scoring!$U$2:$U$151,$A93),Scoring!$U$2:$U$151,0)))</f>
        <v/>
      </c>
      <c r="M93" s="12" t="str">
        <f aca="false">IF(LARGE(Scoring!$U$2:$U$151,$A93)&lt;0,"",INDEX(Fundamentals!$F$2:$F$151,MATCH(LARGE(Scoring!$U$2:$U$151,$A93),Scoring!$U$2:$U$151,0)))</f>
        <v/>
      </c>
      <c r="N93" s="12" t="str">
        <f aca="false">IF(LARGE(Scoring!$U$2:$U$151,$A93)&lt;0,"",INDEX(PriceMetrics!$P$2:$P$151,MATCH(LARGE(Scoring!$U$2:$U$151,$A93),Scoring!$U$2:$U$151,0)))</f>
        <v/>
      </c>
    </row>
    <row r="94" customFormat="false" ht="15" hidden="false" customHeight="false" outlineLevel="0" collapsed="false">
      <c r="A94" s="3" t="n">
        <v>93</v>
      </c>
      <c r="B94" s="3" t="str">
        <f aca="false">IF(LARGE(Scoring!$U$2:$U$151,$A94)&lt;0,"",INDEX(Scoring!$A$2:$A$151,MATCH(LARGE(Scoring!$U$2:$U$151,$A94),Scoring!$U$2:$U$151,0)))</f>
        <v/>
      </c>
      <c r="C94" s="3" t="str">
        <f aca="false">IF(LARGE(Scoring!$U$2:$U$151,$A94)&lt;0,"",INDEX(Tickers!$B$2:$B$151,MATCH(LARGE(Scoring!$U$2:$U$151,$A94),Scoring!$U$2:$U$151,0)))</f>
        <v/>
      </c>
      <c r="D94" s="3" t="str">
        <f aca="false">IF(LARGE(Scoring!$U$2:$U$151,$A94)&lt;0,"",INDEX(Tickers!$D$2:$D$151,MATCH(LARGE(Scoring!$U$2:$U$151,$A94),Scoring!$U$2:$U$151,0)))</f>
        <v/>
      </c>
      <c r="E94" s="3" t="str">
        <f aca="false">IF(LARGE(Scoring!$U$2:$U$151,$A94)&lt;0,"",INDEX(Tickers!$C$2:$C$151,MATCH(LARGE(Scoring!$U$2:$U$151,$A94),Scoring!$U$2:$U$151,0)))</f>
        <v/>
      </c>
      <c r="F94" s="5" t="str">
        <f aca="false">IF(LARGE(Scoring!$U$2:$U$151,$A94)&lt;0,"",INDEX(Scoring!$M$2:$M$151,MATCH(LARGE(Scoring!$U$2:$U$151,$A94),Scoring!$U$2:$U$151,0)))</f>
        <v/>
      </c>
      <c r="G94" s="3" t="str">
        <f aca="false">IF(LARGE(Scoring!$U$2:$U$151,$A94)&lt;0,"",INDEX(Scoring!$P$2:$P$151,MATCH(LARGE(Scoring!$U$2:$U$151,$A94),Scoring!$U$2:$U$151,0)))</f>
        <v/>
      </c>
      <c r="H94" s="3" t="str">
        <f aca="false">IF(LARGE(Scoring!$U$2:$U$151,$A94)&lt;0,"",INDEX(Scoring!$Q$2:$Q$151,MATCH(LARGE(Scoring!$U$2:$U$151,$A94),Scoring!$U$2:$U$151,0)))</f>
        <v/>
      </c>
      <c r="I94" s="12" t="str">
        <f aca="false">IF(LARGE(Scoring!$U$2:$U$151,$A94)&lt;0,"",INDEX(Scoring!$R$2:$R$151,MATCH(LARGE(Scoring!$U$2:$U$151,$A94),Scoring!$U$2:$U$151,0)))</f>
        <v/>
      </c>
      <c r="J94" s="3" t="str">
        <f aca="false">IF(LARGE(Scoring!$U$2:$U$151,$A94)&lt;0,"",INDEX(Scoring!$S$2:$S$151,MATCH(LARGE(Scoring!$U$2:$U$151,$A94),Scoring!$U$2:$U$151,0)))</f>
        <v/>
      </c>
      <c r="K94" s="20" t="str">
        <f aca="false">IF(LARGE(Scoring!$U$2:$U$151,$A94)&lt;0,"",INDEX(PriceMetrics!$B$2:$B$151,MATCH(LARGE(Scoring!$U$2:$U$151,$A94),Scoring!$U$2:$U$151,0)))</f>
        <v/>
      </c>
      <c r="L94" s="5" t="str">
        <f aca="false">IF(LARGE(Scoring!$U$2:$U$151,$A94)&lt;0,"",INDEX(Fundamentals!$C$2:$C$151,MATCH(LARGE(Scoring!$U$2:$U$151,$A94),Scoring!$U$2:$U$151,0)))</f>
        <v/>
      </c>
      <c r="M94" s="12" t="str">
        <f aca="false">IF(LARGE(Scoring!$U$2:$U$151,$A94)&lt;0,"",INDEX(Fundamentals!$F$2:$F$151,MATCH(LARGE(Scoring!$U$2:$U$151,$A94),Scoring!$U$2:$U$151,0)))</f>
        <v/>
      </c>
      <c r="N94" s="12" t="str">
        <f aca="false">IF(LARGE(Scoring!$U$2:$U$151,$A94)&lt;0,"",INDEX(PriceMetrics!$P$2:$P$151,MATCH(LARGE(Scoring!$U$2:$U$151,$A94),Scoring!$U$2:$U$151,0)))</f>
        <v/>
      </c>
    </row>
    <row r="95" customFormat="false" ht="15" hidden="false" customHeight="false" outlineLevel="0" collapsed="false">
      <c r="A95" s="3" t="n">
        <v>94</v>
      </c>
      <c r="B95" s="3" t="str">
        <f aca="false">IF(LARGE(Scoring!$U$2:$U$151,$A95)&lt;0,"",INDEX(Scoring!$A$2:$A$151,MATCH(LARGE(Scoring!$U$2:$U$151,$A95),Scoring!$U$2:$U$151,0)))</f>
        <v/>
      </c>
      <c r="C95" s="3" t="str">
        <f aca="false">IF(LARGE(Scoring!$U$2:$U$151,$A95)&lt;0,"",INDEX(Tickers!$B$2:$B$151,MATCH(LARGE(Scoring!$U$2:$U$151,$A95),Scoring!$U$2:$U$151,0)))</f>
        <v/>
      </c>
      <c r="D95" s="3" t="str">
        <f aca="false">IF(LARGE(Scoring!$U$2:$U$151,$A95)&lt;0,"",INDEX(Tickers!$D$2:$D$151,MATCH(LARGE(Scoring!$U$2:$U$151,$A95),Scoring!$U$2:$U$151,0)))</f>
        <v/>
      </c>
      <c r="E95" s="3" t="str">
        <f aca="false">IF(LARGE(Scoring!$U$2:$U$151,$A95)&lt;0,"",INDEX(Tickers!$C$2:$C$151,MATCH(LARGE(Scoring!$U$2:$U$151,$A95),Scoring!$U$2:$U$151,0)))</f>
        <v/>
      </c>
      <c r="F95" s="5" t="str">
        <f aca="false">IF(LARGE(Scoring!$U$2:$U$151,$A95)&lt;0,"",INDEX(Scoring!$M$2:$M$151,MATCH(LARGE(Scoring!$U$2:$U$151,$A95),Scoring!$U$2:$U$151,0)))</f>
        <v/>
      </c>
      <c r="G95" s="3" t="str">
        <f aca="false">IF(LARGE(Scoring!$U$2:$U$151,$A95)&lt;0,"",INDEX(Scoring!$P$2:$P$151,MATCH(LARGE(Scoring!$U$2:$U$151,$A95),Scoring!$U$2:$U$151,0)))</f>
        <v/>
      </c>
      <c r="H95" s="3" t="str">
        <f aca="false">IF(LARGE(Scoring!$U$2:$U$151,$A95)&lt;0,"",INDEX(Scoring!$Q$2:$Q$151,MATCH(LARGE(Scoring!$U$2:$U$151,$A95),Scoring!$U$2:$U$151,0)))</f>
        <v/>
      </c>
      <c r="I95" s="12" t="str">
        <f aca="false">IF(LARGE(Scoring!$U$2:$U$151,$A95)&lt;0,"",INDEX(Scoring!$R$2:$R$151,MATCH(LARGE(Scoring!$U$2:$U$151,$A95),Scoring!$U$2:$U$151,0)))</f>
        <v/>
      </c>
      <c r="J95" s="3" t="str">
        <f aca="false">IF(LARGE(Scoring!$U$2:$U$151,$A95)&lt;0,"",INDEX(Scoring!$S$2:$S$151,MATCH(LARGE(Scoring!$U$2:$U$151,$A95),Scoring!$U$2:$U$151,0)))</f>
        <v/>
      </c>
      <c r="K95" s="20" t="str">
        <f aca="false">IF(LARGE(Scoring!$U$2:$U$151,$A95)&lt;0,"",INDEX(PriceMetrics!$B$2:$B$151,MATCH(LARGE(Scoring!$U$2:$U$151,$A95),Scoring!$U$2:$U$151,0)))</f>
        <v/>
      </c>
      <c r="L95" s="5" t="str">
        <f aca="false">IF(LARGE(Scoring!$U$2:$U$151,$A95)&lt;0,"",INDEX(Fundamentals!$C$2:$C$151,MATCH(LARGE(Scoring!$U$2:$U$151,$A95),Scoring!$U$2:$U$151,0)))</f>
        <v/>
      </c>
      <c r="M95" s="12" t="str">
        <f aca="false">IF(LARGE(Scoring!$U$2:$U$151,$A95)&lt;0,"",INDEX(Fundamentals!$F$2:$F$151,MATCH(LARGE(Scoring!$U$2:$U$151,$A95),Scoring!$U$2:$U$151,0)))</f>
        <v/>
      </c>
      <c r="N95" s="12" t="str">
        <f aca="false">IF(LARGE(Scoring!$U$2:$U$151,$A95)&lt;0,"",INDEX(PriceMetrics!$P$2:$P$151,MATCH(LARGE(Scoring!$U$2:$U$151,$A95),Scoring!$U$2:$U$151,0)))</f>
        <v/>
      </c>
    </row>
    <row r="96" customFormat="false" ht="15" hidden="false" customHeight="false" outlineLevel="0" collapsed="false">
      <c r="A96" s="3" t="n">
        <v>95</v>
      </c>
      <c r="B96" s="3" t="str">
        <f aca="false">IF(LARGE(Scoring!$U$2:$U$151,$A96)&lt;0,"",INDEX(Scoring!$A$2:$A$151,MATCH(LARGE(Scoring!$U$2:$U$151,$A96),Scoring!$U$2:$U$151,0)))</f>
        <v/>
      </c>
      <c r="C96" s="3" t="str">
        <f aca="false">IF(LARGE(Scoring!$U$2:$U$151,$A96)&lt;0,"",INDEX(Tickers!$B$2:$B$151,MATCH(LARGE(Scoring!$U$2:$U$151,$A96),Scoring!$U$2:$U$151,0)))</f>
        <v/>
      </c>
      <c r="D96" s="3" t="str">
        <f aca="false">IF(LARGE(Scoring!$U$2:$U$151,$A96)&lt;0,"",INDEX(Tickers!$D$2:$D$151,MATCH(LARGE(Scoring!$U$2:$U$151,$A96),Scoring!$U$2:$U$151,0)))</f>
        <v/>
      </c>
      <c r="E96" s="3" t="str">
        <f aca="false">IF(LARGE(Scoring!$U$2:$U$151,$A96)&lt;0,"",INDEX(Tickers!$C$2:$C$151,MATCH(LARGE(Scoring!$U$2:$U$151,$A96),Scoring!$U$2:$U$151,0)))</f>
        <v/>
      </c>
      <c r="F96" s="5" t="str">
        <f aca="false">IF(LARGE(Scoring!$U$2:$U$151,$A96)&lt;0,"",INDEX(Scoring!$M$2:$M$151,MATCH(LARGE(Scoring!$U$2:$U$151,$A96),Scoring!$U$2:$U$151,0)))</f>
        <v/>
      </c>
      <c r="G96" s="3" t="str">
        <f aca="false">IF(LARGE(Scoring!$U$2:$U$151,$A96)&lt;0,"",INDEX(Scoring!$P$2:$P$151,MATCH(LARGE(Scoring!$U$2:$U$151,$A96),Scoring!$U$2:$U$151,0)))</f>
        <v/>
      </c>
      <c r="H96" s="3" t="str">
        <f aca="false">IF(LARGE(Scoring!$U$2:$U$151,$A96)&lt;0,"",INDEX(Scoring!$Q$2:$Q$151,MATCH(LARGE(Scoring!$U$2:$U$151,$A96),Scoring!$U$2:$U$151,0)))</f>
        <v/>
      </c>
      <c r="I96" s="12" t="str">
        <f aca="false">IF(LARGE(Scoring!$U$2:$U$151,$A96)&lt;0,"",INDEX(Scoring!$R$2:$R$151,MATCH(LARGE(Scoring!$U$2:$U$151,$A96),Scoring!$U$2:$U$151,0)))</f>
        <v/>
      </c>
      <c r="J96" s="3" t="str">
        <f aca="false">IF(LARGE(Scoring!$U$2:$U$151,$A96)&lt;0,"",INDEX(Scoring!$S$2:$S$151,MATCH(LARGE(Scoring!$U$2:$U$151,$A96),Scoring!$U$2:$U$151,0)))</f>
        <v/>
      </c>
      <c r="K96" s="20" t="str">
        <f aca="false">IF(LARGE(Scoring!$U$2:$U$151,$A96)&lt;0,"",INDEX(PriceMetrics!$B$2:$B$151,MATCH(LARGE(Scoring!$U$2:$U$151,$A96),Scoring!$U$2:$U$151,0)))</f>
        <v/>
      </c>
      <c r="L96" s="5" t="str">
        <f aca="false">IF(LARGE(Scoring!$U$2:$U$151,$A96)&lt;0,"",INDEX(Fundamentals!$C$2:$C$151,MATCH(LARGE(Scoring!$U$2:$U$151,$A96),Scoring!$U$2:$U$151,0)))</f>
        <v/>
      </c>
      <c r="M96" s="12" t="str">
        <f aca="false">IF(LARGE(Scoring!$U$2:$U$151,$A96)&lt;0,"",INDEX(Fundamentals!$F$2:$F$151,MATCH(LARGE(Scoring!$U$2:$U$151,$A96),Scoring!$U$2:$U$151,0)))</f>
        <v/>
      </c>
      <c r="N96" s="12" t="str">
        <f aca="false">IF(LARGE(Scoring!$U$2:$U$151,$A96)&lt;0,"",INDEX(PriceMetrics!$P$2:$P$151,MATCH(LARGE(Scoring!$U$2:$U$151,$A96),Scoring!$U$2:$U$151,0)))</f>
        <v/>
      </c>
    </row>
    <row r="97" customFormat="false" ht="15" hidden="false" customHeight="false" outlineLevel="0" collapsed="false">
      <c r="A97" s="3" t="n">
        <v>96</v>
      </c>
      <c r="B97" s="3" t="str">
        <f aca="false">IF(LARGE(Scoring!$U$2:$U$151,$A97)&lt;0,"",INDEX(Scoring!$A$2:$A$151,MATCH(LARGE(Scoring!$U$2:$U$151,$A97),Scoring!$U$2:$U$151,0)))</f>
        <v/>
      </c>
      <c r="C97" s="3" t="str">
        <f aca="false">IF(LARGE(Scoring!$U$2:$U$151,$A97)&lt;0,"",INDEX(Tickers!$B$2:$B$151,MATCH(LARGE(Scoring!$U$2:$U$151,$A97),Scoring!$U$2:$U$151,0)))</f>
        <v/>
      </c>
      <c r="D97" s="3" t="str">
        <f aca="false">IF(LARGE(Scoring!$U$2:$U$151,$A97)&lt;0,"",INDEX(Tickers!$D$2:$D$151,MATCH(LARGE(Scoring!$U$2:$U$151,$A97),Scoring!$U$2:$U$151,0)))</f>
        <v/>
      </c>
      <c r="E97" s="3" t="str">
        <f aca="false">IF(LARGE(Scoring!$U$2:$U$151,$A97)&lt;0,"",INDEX(Tickers!$C$2:$C$151,MATCH(LARGE(Scoring!$U$2:$U$151,$A97),Scoring!$U$2:$U$151,0)))</f>
        <v/>
      </c>
      <c r="F97" s="5" t="str">
        <f aca="false">IF(LARGE(Scoring!$U$2:$U$151,$A97)&lt;0,"",INDEX(Scoring!$M$2:$M$151,MATCH(LARGE(Scoring!$U$2:$U$151,$A97),Scoring!$U$2:$U$151,0)))</f>
        <v/>
      </c>
      <c r="G97" s="3" t="str">
        <f aca="false">IF(LARGE(Scoring!$U$2:$U$151,$A97)&lt;0,"",INDEX(Scoring!$P$2:$P$151,MATCH(LARGE(Scoring!$U$2:$U$151,$A97),Scoring!$U$2:$U$151,0)))</f>
        <v/>
      </c>
      <c r="H97" s="3" t="str">
        <f aca="false">IF(LARGE(Scoring!$U$2:$U$151,$A97)&lt;0,"",INDEX(Scoring!$Q$2:$Q$151,MATCH(LARGE(Scoring!$U$2:$U$151,$A97),Scoring!$U$2:$U$151,0)))</f>
        <v/>
      </c>
      <c r="I97" s="12" t="str">
        <f aca="false">IF(LARGE(Scoring!$U$2:$U$151,$A97)&lt;0,"",INDEX(Scoring!$R$2:$R$151,MATCH(LARGE(Scoring!$U$2:$U$151,$A97),Scoring!$U$2:$U$151,0)))</f>
        <v/>
      </c>
      <c r="J97" s="3" t="str">
        <f aca="false">IF(LARGE(Scoring!$U$2:$U$151,$A97)&lt;0,"",INDEX(Scoring!$S$2:$S$151,MATCH(LARGE(Scoring!$U$2:$U$151,$A97),Scoring!$U$2:$U$151,0)))</f>
        <v/>
      </c>
      <c r="K97" s="20" t="str">
        <f aca="false">IF(LARGE(Scoring!$U$2:$U$151,$A97)&lt;0,"",INDEX(PriceMetrics!$B$2:$B$151,MATCH(LARGE(Scoring!$U$2:$U$151,$A97),Scoring!$U$2:$U$151,0)))</f>
        <v/>
      </c>
      <c r="L97" s="5" t="str">
        <f aca="false">IF(LARGE(Scoring!$U$2:$U$151,$A97)&lt;0,"",INDEX(Fundamentals!$C$2:$C$151,MATCH(LARGE(Scoring!$U$2:$U$151,$A97),Scoring!$U$2:$U$151,0)))</f>
        <v/>
      </c>
      <c r="M97" s="12" t="str">
        <f aca="false">IF(LARGE(Scoring!$U$2:$U$151,$A97)&lt;0,"",INDEX(Fundamentals!$F$2:$F$151,MATCH(LARGE(Scoring!$U$2:$U$151,$A97),Scoring!$U$2:$U$151,0)))</f>
        <v/>
      </c>
      <c r="N97" s="12" t="str">
        <f aca="false">IF(LARGE(Scoring!$U$2:$U$151,$A97)&lt;0,"",INDEX(PriceMetrics!$P$2:$P$151,MATCH(LARGE(Scoring!$U$2:$U$151,$A97),Scoring!$U$2:$U$151,0)))</f>
        <v/>
      </c>
    </row>
    <row r="98" customFormat="false" ht="15" hidden="false" customHeight="false" outlineLevel="0" collapsed="false">
      <c r="A98" s="3" t="n">
        <v>97</v>
      </c>
      <c r="B98" s="3" t="str">
        <f aca="false">IF(LARGE(Scoring!$U$2:$U$151,$A98)&lt;0,"",INDEX(Scoring!$A$2:$A$151,MATCH(LARGE(Scoring!$U$2:$U$151,$A98),Scoring!$U$2:$U$151,0)))</f>
        <v/>
      </c>
      <c r="C98" s="3" t="str">
        <f aca="false">IF(LARGE(Scoring!$U$2:$U$151,$A98)&lt;0,"",INDEX(Tickers!$B$2:$B$151,MATCH(LARGE(Scoring!$U$2:$U$151,$A98),Scoring!$U$2:$U$151,0)))</f>
        <v/>
      </c>
      <c r="D98" s="3" t="str">
        <f aca="false">IF(LARGE(Scoring!$U$2:$U$151,$A98)&lt;0,"",INDEX(Tickers!$D$2:$D$151,MATCH(LARGE(Scoring!$U$2:$U$151,$A98),Scoring!$U$2:$U$151,0)))</f>
        <v/>
      </c>
      <c r="E98" s="3" t="str">
        <f aca="false">IF(LARGE(Scoring!$U$2:$U$151,$A98)&lt;0,"",INDEX(Tickers!$C$2:$C$151,MATCH(LARGE(Scoring!$U$2:$U$151,$A98),Scoring!$U$2:$U$151,0)))</f>
        <v/>
      </c>
      <c r="F98" s="5" t="str">
        <f aca="false">IF(LARGE(Scoring!$U$2:$U$151,$A98)&lt;0,"",INDEX(Scoring!$M$2:$M$151,MATCH(LARGE(Scoring!$U$2:$U$151,$A98),Scoring!$U$2:$U$151,0)))</f>
        <v/>
      </c>
      <c r="G98" s="3" t="str">
        <f aca="false">IF(LARGE(Scoring!$U$2:$U$151,$A98)&lt;0,"",INDEX(Scoring!$P$2:$P$151,MATCH(LARGE(Scoring!$U$2:$U$151,$A98),Scoring!$U$2:$U$151,0)))</f>
        <v/>
      </c>
      <c r="H98" s="3" t="str">
        <f aca="false">IF(LARGE(Scoring!$U$2:$U$151,$A98)&lt;0,"",INDEX(Scoring!$Q$2:$Q$151,MATCH(LARGE(Scoring!$U$2:$U$151,$A98),Scoring!$U$2:$U$151,0)))</f>
        <v/>
      </c>
      <c r="I98" s="12" t="str">
        <f aca="false">IF(LARGE(Scoring!$U$2:$U$151,$A98)&lt;0,"",INDEX(Scoring!$R$2:$R$151,MATCH(LARGE(Scoring!$U$2:$U$151,$A98),Scoring!$U$2:$U$151,0)))</f>
        <v/>
      </c>
      <c r="J98" s="3" t="str">
        <f aca="false">IF(LARGE(Scoring!$U$2:$U$151,$A98)&lt;0,"",INDEX(Scoring!$S$2:$S$151,MATCH(LARGE(Scoring!$U$2:$U$151,$A98),Scoring!$U$2:$U$151,0)))</f>
        <v/>
      </c>
      <c r="K98" s="20" t="str">
        <f aca="false">IF(LARGE(Scoring!$U$2:$U$151,$A98)&lt;0,"",INDEX(PriceMetrics!$B$2:$B$151,MATCH(LARGE(Scoring!$U$2:$U$151,$A98),Scoring!$U$2:$U$151,0)))</f>
        <v/>
      </c>
      <c r="L98" s="5" t="str">
        <f aca="false">IF(LARGE(Scoring!$U$2:$U$151,$A98)&lt;0,"",INDEX(Fundamentals!$C$2:$C$151,MATCH(LARGE(Scoring!$U$2:$U$151,$A98),Scoring!$U$2:$U$151,0)))</f>
        <v/>
      </c>
      <c r="M98" s="12" t="str">
        <f aca="false">IF(LARGE(Scoring!$U$2:$U$151,$A98)&lt;0,"",INDEX(Fundamentals!$F$2:$F$151,MATCH(LARGE(Scoring!$U$2:$U$151,$A98),Scoring!$U$2:$U$151,0)))</f>
        <v/>
      </c>
      <c r="N98" s="12" t="str">
        <f aca="false">IF(LARGE(Scoring!$U$2:$U$151,$A98)&lt;0,"",INDEX(PriceMetrics!$P$2:$P$151,MATCH(LARGE(Scoring!$U$2:$U$151,$A98),Scoring!$U$2:$U$151,0)))</f>
        <v/>
      </c>
    </row>
    <row r="99" customFormat="false" ht="15" hidden="false" customHeight="false" outlineLevel="0" collapsed="false">
      <c r="A99" s="3" t="n">
        <v>98</v>
      </c>
      <c r="B99" s="3" t="str">
        <f aca="false">IF(LARGE(Scoring!$U$2:$U$151,$A99)&lt;0,"",INDEX(Scoring!$A$2:$A$151,MATCH(LARGE(Scoring!$U$2:$U$151,$A99),Scoring!$U$2:$U$151,0)))</f>
        <v/>
      </c>
      <c r="C99" s="3" t="str">
        <f aca="false">IF(LARGE(Scoring!$U$2:$U$151,$A99)&lt;0,"",INDEX(Tickers!$B$2:$B$151,MATCH(LARGE(Scoring!$U$2:$U$151,$A99),Scoring!$U$2:$U$151,0)))</f>
        <v/>
      </c>
      <c r="D99" s="3" t="str">
        <f aca="false">IF(LARGE(Scoring!$U$2:$U$151,$A99)&lt;0,"",INDEX(Tickers!$D$2:$D$151,MATCH(LARGE(Scoring!$U$2:$U$151,$A99),Scoring!$U$2:$U$151,0)))</f>
        <v/>
      </c>
      <c r="E99" s="3" t="str">
        <f aca="false">IF(LARGE(Scoring!$U$2:$U$151,$A99)&lt;0,"",INDEX(Tickers!$C$2:$C$151,MATCH(LARGE(Scoring!$U$2:$U$151,$A99),Scoring!$U$2:$U$151,0)))</f>
        <v/>
      </c>
      <c r="F99" s="5" t="str">
        <f aca="false">IF(LARGE(Scoring!$U$2:$U$151,$A99)&lt;0,"",INDEX(Scoring!$M$2:$M$151,MATCH(LARGE(Scoring!$U$2:$U$151,$A99),Scoring!$U$2:$U$151,0)))</f>
        <v/>
      </c>
      <c r="G99" s="3" t="str">
        <f aca="false">IF(LARGE(Scoring!$U$2:$U$151,$A99)&lt;0,"",INDEX(Scoring!$P$2:$P$151,MATCH(LARGE(Scoring!$U$2:$U$151,$A99),Scoring!$U$2:$U$151,0)))</f>
        <v/>
      </c>
      <c r="H99" s="3" t="str">
        <f aca="false">IF(LARGE(Scoring!$U$2:$U$151,$A99)&lt;0,"",INDEX(Scoring!$Q$2:$Q$151,MATCH(LARGE(Scoring!$U$2:$U$151,$A99),Scoring!$U$2:$U$151,0)))</f>
        <v/>
      </c>
      <c r="I99" s="12" t="str">
        <f aca="false">IF(LARGE(Scoring!$U$2:$U$151,$A99)&lt;0,"",INDEX(Scoring!$R$2:$R$151,MATCH(LARGE(Scoring!$U$2:$U$151,$A99),Scoring!$U$2:$U$151,0)))</f>
        <v/>
      </c>
      <c r="J99" s="3" t="str">
        <f aca="false">IF(LARGE(Scoring!$U$2:$U$151,$A99)&lt;0,"",INDEX(Scoring!$S$2:$S$151,MATCH(LARGE(Scoring!$U$2:$U$151,$A99),Scoring!$U$2:$U$151,0)))</f>
        <v/>
      </c>
      <c r="K99" s="20" t="str">
        <f aca="false">IF(LARGE(Scoring!$U$2:$U$151,$A99)&lt;0,"",INDEX(PriceMetrics!$B$2:$B$151,MATCH(LARGE(Scoring!$U$2:$U$151,$A99),Scoring!$U$2:$U$151,0)))</f>
        <v/>
      </c>
      <c r="L99" s="5" t="str">
        <f aca="false">IF(LARGE(Scoring!$U$2:$U$151,$A99)&lt;0,"",INDEX(Fundamentals!$C$2:$C$151,MATCH(LARGE(Scoring!$U$2:$U$151,$A99),Scoring!$U$2:$U$151,0)))</f>
        <v/>
      </c>
      <c r="M99" s="12" t="str">
        <f aca="false">IF(LARGE(Scoring!$U$2:$U$151,$A99)&lt;0,"",INDEX(Fundamentals!$F$2:$F$151,MATCH(LARGE(Scoring!$U$2:$U$151,$A99),Scoring!$U$2:$U$151,0)))</f>
        <v/>
      </c>
      <c r="N99" s="12" t="str">
        <f aca="false">IF(LARGE(Scoring!$U$2:$U$151,$A99)&lt;0,"",INDEX(PriceMetrics!$P$2:$P$151,MATCH(LARGE(Scoring!$U$2:$U$151,$A99),Scoring!$U$2:$U$151,0)))</f>
        <v/>
      </c>
    </row>
    <row r="100" customFormat="false" ht="15" hidden="false" customHeight="false" outlineLevel="0" collapsed="false">
      <c r="A100" s="3" t="n">
        <v>99</v>
      </c>
      <c r="B100" s="3" t="str">
        <f aca="false">IF(LARGE(Scoring!$U$2:$U$151,$A100)&lt;0,"",INDEX(Scoring!$A$2:$A$151,MATCH(LARGE(Scoring!$U$2:$U$151,$A100),Scoring!$U$2:$U$151,0)))</f>
        <v/>
      </c>
      <c r="C100" s="3" t="str">
        <f aca="false">IF(LARGE(Scoring!$U$2:$U$151,$A100)&lt;0,"",INDEX(Tickers!$B$2:$B$151,MATCH(LARGE(Scoring!$U$2:$U$151,$A100),Scoring!$U$2:$U$151,0)))</f>
        <v/>
      </c>
      <c r="D100" s="3" t="str">
        <f aca="false">IF(LARGE(Scoring!$U$2:$U$151,$A100)&lt;0,"",INDEX(Tickers!$D$2:$D$151,MATCH(LARGE(Scoring!$U$2:$U$151,$A100),Scoring!$U$2:$U$151,0)))</f>
        <v/>
      </c>
      <c r="E100" s="3" t="str">
        <f aca="false">IF(LARGE(Scoring!$U$2:$U$151,$A100)&lt;0,"",INDEX(Tickers!$C$2:$C$151,MATCH(LARGE(Scoring!$U$2:$U$151,$A100),Scoring!$U$2:$U$151,0)))</f>
        <v/>
      </c>
      <c r="F100" s="5" t="str">
        <f aca="false">IF(LARGE(Scoring!$U$2:$U$151,$A100)&lt;0,"",INDEX(Scoring!$M$2:$M$151,MATCH(LARGE(Scoring!$U$2:$U$151,$A100),Scoring!$U$2:$U$151,0)))</f>
        <v/>
      </c>
      <c r="G100" s="3" t="str">
        <f aca="false">IF(LARGE(Scoring!$U$2:$U$151,$A100)&lt;0,"",INDEX(Scoring!$P$2:$P$151,MATCH(LARGE(Scoring!$U$2:$U$151,$A100),Scoring!$U$2:$U$151,0)))</f>
        <v/>
      </c>
      <c r="H100" s="3" t="str">
        <f aca="false">IF(LARGE(Scoring!$U$2:$U$151,$A100)&lt;0,"",INDEX(Scoring!$Q$2:$Q$151,MATCH(LARGE(Scoring!$U$2:$U$151,$A100),Scoring!$U$2:$U$151,0)))</f>
        <v/>
      </c>
      <c r="I100" s="12" t="str">
        <f aca="false">IF(LARGE(Scoring!$U$2:$U$151,$A100)&lt;0,"",INDEX(Scoring!$R$2:$R$151,MATCH(LARGE(Scoring!$U$2:$U$151,$A100),Scoring!$U$2:$U$151,0)))</f>
        <v/>
      </c>
      <c r="J100" s="3" t="str">
        <f aca="false">IF(LARGE(Scoring!$U$2:$U$151,$A100)&lt;0,"",INDEX(Scoring!$S$2:$S$151,MATCH(LARGE(Scoring!$U$2:$U$151,$A100),Scoring!$U$2:$U$151,0)))</f>
        <v/>
      </c>
      <c r="K100" s="20" t="str">
        <f aca="false">IF(LARGE(Scoring!$U$2:$U$151,$A100)&lt;0,"",INDEX(PriceMetrics!$B$2:$B$151,MATCH(LARGE(Scoring!$U$2:$U$151,$A100),Scoring!$U$2:$U$151,0)))</f>
        <v/>
      </c>
      <c r="L100" s="5" t="str">
        <f aca="false">IF(LARGE(Scoring!$U$2:$U$151,$A100)&lt;0,"",INDEX(Fundamentals!$C$2:$C$151,MATCH(LARGE(Scoring!$U$2:$U$151,$A100),Scoring!$U$2:$U$151,0)))</f>
        <v/>
      </c>
      <c r="M100" s="12" t="str">
        <f aca="false">IF(LARGE(Scoring!$U$2:$U$151,$A100)&lt;0,"",INDEX(Fundamentals!$F$2:$F$151,MATCH(LARGE(Scoring!$U$2:$U$151,$A100),Scoring!$U$2:$U$151,0)))</f>
        <v/>
      </c>
      <c r="N100" s="12" t="str">
        <f aca="false">IF(LARGE(Scoring!$U$2:$U$151,$A100)&lt;0,"",INDEX(PriceMetrics!$P$2:$P$151,MATCH(LARGE(Scoring!$U$2:$U$151,$A100),Scoring!$U$2:$U$151,0)))</f>
        <v/>
      </c>
    </row>
    <row r="101" customFormat="false" ht="15" hidden="false" customHeight="false" outlineLevel="0" collapsed="false">
      <c r="A101" s="3" t="n">
        <v>100</v>
      </c>
      <c r="B101" s="3" t="str">
        <f aca="false">IF(LARGE(Scoring!$U$2:$U$151,$A101)&lt;0,"",INDEX(Scoring!$A$2:$A$151,MATCH(LARGE(Scoring!$U$2:$U$151,$A101),Scoring!$U$2:$U$151,0)))</f>
        <v/>
      </c>
      <c r="C101" s="3" t="str">
        <f aca="false">IF(LARGE(Scoring!$U$2:$U$151,$A101)&lt;0,"",INDEX(Tickers!$B$2:$B$151,MATCH(LARGE(Scoring!$U$2:$U$151,$A101),Scoring!$U$2:$U$151,0)))</f>
        <v/>
      </c>
      <c r="D101" s="3" t="str">
        <f aca="false">IF(LARGE(Scoring!$U$2:$U$151,$A101)&lt;0,"",INDEX(Tickers!$D$2:$D$151,MATCH(LARGE(Scoring!$U$2:$U$151,$A101),Scoring!$U$2:$U$151,0)))</f>
        <v/>
      </c>
      <c r="E101" s="3" t="str">
        <f aca="false">IF(LARGE(Scoring!$U$2:$U$151,$A101)&lt;0,"",INDEX(Tickers!$C$2:$C$151,MATCH(LARGE(Scoring!$U$2:$U$151,$A101),Scoring!$U$2:$U$151,0)))</f>
        <v/>
      </c>
      <c r="F101" s="5" t="str">
        <f aca="false">IF(LARGE(Scoring!$U$2:$U$151,$A101)&lt;0,"",INDEX(Scoring!$M$2:$M$151,MATCH(LARGE(Scoring!$U$2:$U$151,$A101),Scoring!$U$2:$U$151,0)))</f>
        <v/>
      </c>
      <c r="G101" s="3" t="str">
        <f aca="false">IF(LARGE(Scoring!$U$2:$U$151,$A101)&lt;0,"",INDEX(Scoring!$P$2:$P$151,MATCH(LARGE(Scoring!$U$2:$U$151,$A101),Scoring!$U$2:$U$151,0)))</f>
        <v/>
      </c>
      <c r="H101" s="3" t="str">
        <f aca="false">IF(LARGE(Scoring!$U$2:$U$151,$A101)&lt;0,"",INDEX(Scoring!$Q$2:$Q$151,MATCH(LARGE(Scoring!$U$2:$U$151,$A101),Scoring!$U$2:$U$151,0)))</f>
        <v/>
      </c>
      <c r="I101" s="12" t="str">
        <f aca="false">IF(LARGE(Scoring!$U$2:$U$151,$A101)&lt;0,"",INDEX(Scoring!$R$2:$R$151,MATCH(LARGE(Scoring!$U$2:$U$151,$A101),Scoring!$U$2:$U$151,0)))</f>
        <v/>
      </c>
      <c r="J101" s="3" t="str">
        <f aca="false">IF(LARGE(Scoring!$U$2:$U$151,$A101)&lt;0,"",INDEX(Scoring!$S$2:$S$151,MATCH(LARGE(Scoring!$U$2:$U$151,$A101),Scoring!$U$2:$U$151,0)))</f>
        <v/>
      </c>
      <c r="K101" s="20" t="str">
        <f aca="false">IF(LARGE(Scoring!$U$2:$U$151,$A101)&lt;0,"",INDEX(PriceMetrics!$B$2:$B$151,MATCH(LARGE(Scoring!$U$2:$U$151,$A101),Scoring!$U$2:$U$151,0)))</f>
        <v/>
      </c>
      <c r="L101" s="5" t="str">
        <f aca="false">IF(LARGE(Scoring!$U$2:$U$151,$A101)&lt;0,"",INDEX(Fundamentals!$C$2:$C$151,MATCH(LARGE(Scoring!$U$2:$U$151,$A101),Scoring!$U$2:$U$151,0)))</f>
        <v/>
      </c>
      <c r="M101" s="12" t="str">
        <f aca="false">IF(LARGE(Scoring!$U$2:$U$151,$A101)&lt;0,"",INDEX(Fundamentals!$F$2:$F$151,MATCH(LARGE(Scoring!$U$2:$U$151,$A101),Scoring!$U$2:$U$151,0)))</f>
        <v/>
      </c>
      <c r="N101" s="12" t="str">
        <f aca="false">IF(LARGE(Scoring!$U$2:$U$151,$A101)&lt;0,"",INDEX(PriceMetrics!$P$2:$P$151,MATCH(LARGE(Scoring!$U$2:$U$151,$A101),Scoring!$U$2:$U$151,0)))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2026-06-12T08:17:09Z</dcterms:created>
  <dc:creator>openpyxl</dc:creator>
  <dc:description/>
  <dc:language>en-US</dc:language>
  <cp:lastModifiedBy/>
  <dcterms:modified xsi:type="dcterms:W3CDTF">2026-06-12T08:17:10Z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