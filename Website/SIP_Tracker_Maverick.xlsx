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P Goal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₹#,##0"/>
    <numFmt numFmtId="165" formatCode="0&quot;%&quot;"/>
    <numFmt numFmtId="166" formatCode="0.0"/>
  </numFmts>
  <fonts count="11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595959"/>
      <sz val="9"/>
    </font>
    <font>
      <name val="Calibri"/>
      <i val="1"/>
      <color rgb="00C55A11"/>
      <sz val="9"/>
    </font>
    <font>
      <name val="Calibri"/>
      <b val="1"/>
      <color rgb="00FFFFFF"/>
      <sz val="10"/>
    </font>
    <font>
      <name val="Calibri"/>
      <b val="1"/>
      <color rgb="001F4E79"/>
      <sz val="9"/>
    </font>
    <font>
      <name val="Calibri"/>
      <color rgb="00404040"/>
      <sz val="10"/>
    </font>
    <font>
      <name val="Calibri"/>
      <b val="1"/>
      <color rgb="001F4E79"/>
      <sz val="10"/>
    </font>
    <font>
      <name val="Calibri"/>
      <b val="1"/>
      <color rgb="00833C00"/>
      <sz val="10"/>
    </font>
    <font>
      <name val="Calibri"/>
      <b val="1"/>
      <color rgb="00375623"/>
      <sz val="10"/>
    </font>
    <font>
      <name val="Calibri"/>
      <b val="1"/>
      <color rgb="007F4F00"/>
      <sz val="11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BDD7EE"/>
      </patternFill>
    </fill>
    <fill>
      <patternFill patternType="solid">
        <fgColor rgb="00E2EFDA"/>
      </patternFill>
    </fill>
    <fill>
      <patternFill patternType="solid">
        <fgColor rgb="00FFD966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5" borderId="0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164" fontId="7" fillId="7" borderId="1" applyAlignment="1" pivotButton="0" quotePrefix="0" xfId="0">
      <alignment horizontal="center" vertical="center"/>
    </xf>
    <xf numFmtId="165" fontId="7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1" fontId="7" fillId="7" borderId="1" applyAlignment="1" pivotButton="0" quotePrefix="0" xfId="0">
      <alignment horizontal="center" vertical="center"/>
    </xf>
    <xf numFmtId="166" fontId="8" fillId="4" borderId="1" applyAlignment="1" pivotButton="0" quotePrefix="0" xfId="0">
      <alignment horizontal="center" vertical="center"/>
    </xf>
    <xf numFmtId="164" fontId="9" fillId="8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left" vertical="center"/>
    </xf>
    <xf numFmtId="164" fontId="10" fillId="9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6" customWidth="1" min="3" max="3"/>
    <col width="12" customWidth="1" min="4" max="4"/>
    <col width="14" customWidth="1" min="5" max="5"/>
    <col width="14" customWidth="1" min="6" max="6"/>
    <col width="14" customWidth="1" min="7" max="7"/>
    <col width="20" customWidth="1" min="8" max="8"/>
    <col width="20" customWidth="1" min="9" max="9"/>
    <col width="18" customWidth="1" min="10" max="10"/>
  </cols>
  <sheetData>
    <row r="1" ht="30" customHeight="1">
      <c r="A1" s="1" t="inlineStr">
        <is>
          <t>📈  MAVERICK INVESTOR — SIP GOAL TRACKER &amp; PROJECTOR</t>
        </is>
      </c>
    </row>
    <row r="2" ht="15" customHeight="1">
      <c r="A2" s="2" t="inlineStr">
        <is>
          <t>HOW TO USE:  BLUE = amounts/dates  ·  ORANGE = return % assumption (per fund, and reference table)  ·  GREEN = auto-calculated.  Add up to 10 SIPs.</t>
        </is>
      </c>
    </row>
    <row r="3" ht="15" customHeight="1">
      <c r="A3" s="2" t="inlineStr">
        <is>
          <t>🔵 Blue = Input    🟠 Orange = Return % (edit freely)    🟢 Green = Calculated    🟡 Gold = Totals</t>
        </is>
      </c>
    </row>
    <row r="4" ht="15" customHeight="1">
      <c r="A4" s="3" t="inlineStr">
        <is>
          <t>⚠️  DISCLAIMER: Fund names listed below are PLACEHOLDERS for illustration only. They are NOT investment recommendations. Please consult a SEBI-registered advisor and conduct your own research before investing in any mutual fund.</t>
        </is>
      </c>
    </row>
    <row r="5" ht="6" customHeight="1"/>
    <row r="6" ht="20" customHeight="1">
      <c r="A6" s="4" t="inlineStr">
        <is>
          <t xml:space="preserve">  YOUR ACTIVE SIP PORTFOLIO</t>
        </is>
      </c>
    </row>
    <row r="7" ht="20" customHeight="1">
      <c r="A7" s="5" t="inlineStr">
        <is>
          <t>#</t>
        </is>
      </c>
      <c r="B7" s="5" t="inlineStr">
        <is>
          <t>Fund / Goal Name</t>
        </is>
      </c>
      <c r="C7" s="5" t="inlineStr">
        <is>
          <t>Monthly SIP (₹)</t>
        </is>
      </c>
      <c r="D7" s="5" t="inlineStr">
        <is>
          <t>Step-up % p.a.</t>
        </is>
      </c>
      <c r="E7" s="5" t="inlineStr">
        <is>
          <t>Start Date</t>
        </is>
      </c>
      <c r="F7" s="5" t="inlineStr">
        <is>
          <t>Target Year</t>
        </is>
      </c>
      <c r="G7" s="5" t="inlineStr">
        <is>
          <t>Return % p.a.</t>
        </is>
      </c>
      <c r="H7" s="5" t="inlineStr">
        <is>
          <t>Projected Corpus (₹)</t>
        </is>
      </c>
      <c r="I7" s="5" t="inlineStr">
        <is>
          <t>Invested Amt (₹)</t>
        </is>
      </c>
      <c r="J7" s="5" t="inlineStr">
        <is>
          <t>Gain (₹)</t>
        </is>
      </c>
    </row>
    <row r="8" ht="18" customHeight="1">
      <c r="A8" s="6" t="n">
        <v>1</v>
      </c>
      <c r="B8" s="7" t="inlineStr">
        <is>
          <t>Large Cap Fund — Placeholder</t>
        </is>
      </c>
      <c r="C8" s="8" t="n">
        <v>2000</v>
      </c>
      <c r="D8" s="9" t="n">
        <v>10</v>
      </c>
      <c r="E8" s="10" t="inlineStr">
        <is>
          <t>2026-01-01</t>
        </is>
      </c>
      <c r="F8" s="11" t="n">
        <v>2036</v>
      </c>
      <c r="G8" s="12" t="n">
        <v>13</v>
      </c>
      <c r="H8" s="13">
        <f>IF(C8=0,0,C8*(((1+G8/1200)^((F8-YEAR(E8))*12)-1)/(G8/1200))*(1+G8/1200)*(1+(D8/100)*((F8-YEAR(E8))/2)))</f>
        <v/>
      </c>
      <c r="I8" s="13">
        <f>IF(C8=0,0,C8*12*(F8-YEAR(E8))*(1+(D8/100)*(F8-YEAR(E8)-1)/2))</f>
        <v/>
      </c>
      <c r="J8" s="13">
        <f>IF(H8=0,0,H8-I8)</f>
        <v/>
      </c>
    </row>
    <row r="9" ht="18" customHeight="1">
      <c r="A9" s="6" t="n">
        <v>2</v>
      </c>
      <c r="B9" s="7" t="inlineStr">
        <is>
          <t>Mid Cap Fund — Placeholder</t>
        </is>
      </c>
      <c r="C9" s="8" t="n">
        <v>2000</v>
      </c>
      <c r="D9" s="9" t="n">
        <v>10</v>
      </c>
      <c r="E9" s="10" t="inlineStr">
        <is>
          <t>2026-01-01</t>
        </is>
      </c>
      <c r="F9" s="11" t="n">
        <v>2036</v>
      </c>
      <c r="G9" s="12" t="n">
        <v>15</v>
      </c>
      <c r="H9" s="13">
        <f>IF(C9=0,0,C9*(((1+G9/1200)^((F9-YEAR(E9))*12)-1)/(G9/1200))*(1+G9/1200)*(1+(D9/100)*((F9-YEAR(E9))/2)))</f>
        <v/>
      </c>
      <c r="I9" s="13">
        <f>IF(C9=0,0,C9*12*(F9-YEAR(E9))*(1+(D9/100)*(F9-YEAR(E9)-1)/2))</f>
        <v/>
      </c>
      <c r="J9" s="13">
        <f>IF(H9=0,0,H9-I9)</f>
        <v/>
      </c>
    </row>
    <row r="10" ht="18" customHeight="1">
      <c r="A10" s="6" t="n">
        <v>3</v>
      </c>
      <c r="B10" s="7" t="inlineStr">
        <is>
          <t>Flexi Cap Fund — Placeholder</t>
        </is>
      </c>
      <c r="C10" s="8" t="n">
        <v>2000</v>
      </c>
      <c r="D10" s="9" t="n">
        <v>5</v>
      </c>
      <c r="E10" s="10" t="inlineStr">
        <is>
          <t>2026-01-01</t>
        </is>
      </c>
      <c r="F10" s="11" t="n">
        <v>2036</v>
      </c>
      <c r="G10" s="12" t="n">
        <v>13</v>
      </c>
      <c r="H10" s="13">
        <f>IF(C10=0,0,C10*(((1+G10/1200)^((F10-YEAR(E10))*12)-1)/(G10/1200))*(1+G10/1200)*(1+(D10/100)*((F10-YEAR(E10))/2)))</f>
        <v/>
      </c>
      <c r="I10" s="13">
        <f>IF(C10=0,0,C10*12*(F10-YEAR(E10))*(1+(D10/100)*(F10-YEAR(E10)-1)/2))</f>
        <v/>
      </c>
      <c r="J10" s="13">
        <f>IF(H10=0,0,H10-I10)</f>
        <v/>
      </c>
    </row>
    <row r="11" ht="18" customHeight="1">
      <c r="A11" s="6" t="n">
        <v>4</v>
      </c>
      <c r="B11" s="7" t="inlineStr">
        <is>
          <t>Index Fund (Nifty 50) — Placeholder</t>
        </is>
      </c>
      <c r="C11" s="8" t="n">
        <v>2000</v>
      </c>
      <c r="D11" s="9" t="n">
        <v>0</v>
      </c>
      <c r="E11" s="10" t="inlineStr">
        <is>
          <t>2026-01-01</t>
        </is>
      </c>
      <c r="F11" s="11" t="n">
        <v>2036</v>
      </c>
      <c r="G11" s="12" t="n">
        <v>12</v>
      </c>
      <c r="H11" s="13">
        <f>IF(C11=0,0,C11*(((1+G11/1200)^((F11-YEAR(E11))*12)-1)/(G11/1200))*(1+G11/1200)*(1+(D11/100)*((F11-YEAR(E11))/2)))</f>
        <v/>
      </c>
      <c r="I11" s="13">
        <f>IF(C11=0,0,C11*12*(F11-YEAR(E11))*(1+(D11/100)*(F11-YEAR(E11)-1)/2))</f>
        <v/>
      </c>
      <c r="J11" s="13">
        <f>IF(H11=0,0,H11-I11)</f>
        <v/>
      </c>
    </row>
    <row r="12" ht="18" customHeight="1">
      <c r="A12" s="6" t="n">
        <v>5</v>
      </c>
      <c r="B12" s="7" t="inlineStr">
        <is>
          <t>Small Cap Fund — Placeholder</t>
        </is>
      </c>
      <c r="C12" s="8" t="n">
        <v>2000</v>
      </c>
      <c r="D12" s="9" t="n">
        <v>15</v>
      </c>
      <c r="E12" s="10" t="inlineStr">
        <is>
          <t>2026-01-01</t>
        </is>
      </c>
      <c r="F12" s="11" t="n">
        <v>2031</v>
      </c>
      <c r="G12" s="12" t="n">
        <v>17</v>
      </c>
      <c r="H12" s="13">
        <f>IF(C12=0,0,C12*(((1+G12/1200)^((F12-YEAR(E12))*12)-1)/(G12/1200))*(1+G12/1200)*(1+(D12/100)*((F12-YEAR(E12))/2)))</f>
        <v/>
      </c>
      <c r="I12" s="13">
        <f>IF(C12=0,0,C12*12*(F12-YEAR(E12))*(1+(D12/100)*(F12-YEAR(E12)-1)/2))</f>
        <v/>
      </c>
      <c r="J12" s="13">
        <f>IF(H12=0,0,H12-I12)</f>
        <v/>
      </c>
    </row>
    <row r="13" ht="18" customHeight="1">
      <c r="A13" s="6" t="n">
        <v>6</v>
      </c>
      <c r="B13" s="7" t="inlineStr"/>
      <c r="C13" s="8" t="n">
        <v>0</v>
      </c>
      <c r="D13" s="9" t="n">
        <v>0</v>
      </c>
      <c r="E13" s="10" t="inlineStr"/>
      <c r="F13" s="11" t="inlineStr"/>
      <c r="G13" s="12" t="n">
        <v>12</v>
      </c>
      <c r="H13" s="13">
        <f>IF(C13=0,0,C13*(((1+G13/1200)^((F13-YEAR(E13))*12)-1)/(G13/1200))*(1+G13/1200)*(1+(D13/100)*((F13-YEAR(E13))/2)))</f>
        <v/>
      </c>
      <c r="I13" s="13">
        <f>IF(C13=0,0,C13*12*(F13-YEAR(E13))*(1+(D13/100)*(F13-YEAR(E13)-1)/2))</f>
        <v/>
      </c>
      <c r="J13" s="13">
        <f>IF(H13=0,0,H13-I13)</f>
        <v/>
      </c>
    </row>
    <row r="14" ht="18" customHeight="1">
      <c r="A14" s="6" t="n">
        <v>7</v>
      </c>
      <c r="B14" s="7" t="inlineStr"/>
      <c r="C14" s="8" t="n">
        <v>0</v>
      </c>
      <c r="D14" s="9" t="n">
        <v>0</v>
      </c>
      <c r="E14" s="10" t="inlineStr"/>
      <c r="F14" s="11" t="inlineStr"/>
      <c r="G14" s="12" t="n">
        <v>12</v>
      </c>
      <c r="H14" s="13">
        <f>IF(C14=0,0,C14*(((1+G14/1200)^((F14-YEAR(E14))*12)-1)/(G14/1200))*(1+G14/1200)*(1+(D14/100)*((F14-YEAR(E14))/2)))</f>
        <v/>
      </c>
      <c r="I14" s="13">
        <f>IF(C14=0,0,C14*12*(F14-YEAR(E14))*(1+(D14/100)*(F14-YEAR(E14)-1)/2))</f>
        <v/>
      </c>
      <c r="J14" s="13">
        <f>IF(H14=0,0,H14-I14)</f>
        <v/>
      </c>
    </row>
    <row r="15" ht="18" customHeight="1">
      <c r="A15" s="6" t="n">
        <v>8</v>
      </c>
      <c r="B15" s="7" t="inlineStr"/>
      <c r="C15" s="8" t="n">
        <v>0</v>
      </c>
      <c r="D15" s="9" t="n">
        <v>0</v>
      </c>
      <c r="E15" s="10" t="inlineStr"/>
      <c r="F15" s="11" t="inlineStr"/>
      <c r="G15" s="12" t="n">
        <v>12</v>
      </c>
      <c r="H15" s="13">
        <f>IF(C15=0,0,C15*(((1+G15/1200)^((F15-YEAR(E15))*12)-1)/(G15/1200))*(1+G15/1200)*(1+(D15/100)*((F15-YEAR(E15))/2)))</f>
        <v/>
      </c>
      <c r="I15" s="13">
        <f>IF(C15=0,0,C15*12*(F15-YEAR(E15))*(1+(D15/100)*(F15-YEAR(E15)-1)/2))</f>
        <v/>
      </c>
      <c r="J15" s="13">
        <f>IF(H15=0,0,H15-I15)</f>
        <v/>
      </c>
    </row>
    <row r="16" ht="18" customHeight="1">
      <c r="A16" s="6" t="n">
        <v>9</v>
      </c>
      <c r="B16" s="7" t="inlineStr"/>
      <c r="C16" s="8" t="n">
        <v>0</v>
      </c>
      <c r="D16" s="9" t="n">
        <v>0</v>
      </c>
      <c r="E16" s="10" t="inlineStr"/>
      <c r="F16" s="11" t="inlineStr"/>
      <c r="G16" s="12" t="n">
        <v>12</v>
      </c>
      <c r="H16" s="13">
        <f>IF(C16=0,0,C16*(((1+G16/1200)^((F16-YEAR(E16))*12)-1)/(G16/1200))*(1+G16/1200)*(1+(D16/100)*((F16-YEAR(E16))/2)))</f>
        <v/>
      </c>
      <c r="I16" s="13">
        <f>IF(C16=0,0,C16*12*(F16-YEAR(E16))*(1+(D16/100)*(F16-YEAR(E16)-1)/2))</f>
        <v/>
      </c>
      <c r="J16" s="13">
        <f>IF(H16=0,0,H16-I16)</f>
        <v/>
      </c>
    </row>
    <row r="17" ht="18" customHeight="1">
      <c r="A17" s="6" t="n">
        <v>10</v>
      </c>
      <c r="B17" s="7" t="inlineStr"/>
      <c r="C17" s="8" t="n">
        <v>0</v>
      </c>
      <c r="D17" s="9" t="n">
        <v>0</v>
      </c>
      <c r="E17" s="10" t="inlineStr"/>
      <c r="F17" s="11" t="inlineStr"/>
      <c r="G17" s="12" t="n">
        <v>12</v>
      </c>
      <c r="H17" s="13">
        <f>IF(C17=0,0,C17*(((1+G17/1200)^((F17-YEAR(E17))*12)-1)/(G17/1200))*(1+G17/1200)*(1+(D17/100)*((F17-YEAR(E17))/2)))</f>
        <v/>
      </c>
      <c r="I17" s="13">
        <f>IF(C17=0,0,C17*12*(F17-YEAR(E17))*(1+(D17/100)*(F17-YEAR(E17)-1)/2))</f>
        <v/>
      </c>
      <c r="J17" s="13">
        <f>IF(H17=0,0,H17-I17)</f>
        <v/>
      </c>
    </row>
    <row r="18" ht="20" customHeight="1">
      <c r="B18" s="14" t="inlineStr">
        <is>
          <t>PORTFOLIO TOTALS</t>
        </is>
      </c>
      <c r="C18" s="15">
        <f>SUM(C8:C17)</f>
        <v/>
      </c>
      <c r="H18" s="15">
        <f>SUM(H8:H17)</f>
        <v/>
      </c>
      <c r="I18" s="15">
        <f>SUM(I8:I17)</f>
        <v/>
      </c>
      <c r="J18" s="15">
        <f>SUM(J8:J17)</f>
        <v/>
      </c>
    </row>
    <row r="19" ht="6" customHeight="1"/>
    <row r="20" ht="20" customHeight="1">
      <c r="A20" s="4" t="inlineStr">
        <is>
          <t xml:space="preserve">  STEP-UP SIP REFERENCE TABLE — Power of Annual Increment</t>
        </is>
      </c>
    </row>
    <row r="21" ht="18" customHeight="1">
      <c r="A21" s="16" t="inlineStr">
        <is>
          <t>Assumed Return Rate for Reference Table (% p.a.)</t>
        </is>
      </c>
      <c r="D21" s="12" t="n">
        <v>12</v>
      </c>
      <c r="E21" s="17" t="inlineStr">
        <is>
          <t>Default 12%; change to model different scenarios</t>
        </is>
      </c>
    </row>
    <row r="22" ht="16" customHeight="1">
      <c r="A22" s="5" t="inlineStr">
        <is>
          <t>Monthly SIP</t>
        </is>
      </c>
      <c r="B22" s="5" t="inlineStr">
        <is>
          <t>Step-up %</t>
        </is>
      </c>
      <c r="C22" s="5" t="inlineStr">
        <is>
          <t>10-Year Corpus</t>
        </is>
      </c>
      <c r="D22" s="5" t="inlineStr">
        <is>
          <t>20-Year Corpus</t>
        </is>
      </c>
      <c r="E22" s="5" t="inlineStr">
        <is>
          <t>30-Year Corpus</t>
        </is>
      </c>
    </row>
    <row r="23" ht="17" customHeight="1">
      <c r="A23" s="8" t="n">
        <v>5000</v>
      </c>
      <c r="B23" s="9" t="n">
        <v>0</v>
      </c>
      <c r="C23" s="13">
        <f>A23*(((1+$D$21/1200)^(10*12)-1)/($D$21/1200))*(1+$D$21/1200)*(1+(B23/100)*(10/2))</f>
        <v/>
      </c>
      <c r="D23" s="13">
        <f>A23*(((1+$D$21/1200)^(20*12)-1)/($D$21/1200))*(1+$D$21/1200)*(1+(B23/100)*(20/2))</f>
        <v/>
      </c>
      <c r="E23" s="13">
        <f>A23*(((1+$D$21/1200)^(30*12)-1)/($D$21/1200))*(1+$D$21/1200)*(1+(B23/100)*(30/2))</f>
        <v/>
      </c>
    </row>
    <row r="24" ht="17" customHeight="1">
      <c r="A24" s="8" t="n">
        <v>5000</v>
      </c>
      <c r="B24" s="9" t="n">
        <v>10</v>
      </c>
      <c r="C24" s="13">
        <f>A24*(((1+$D$21/1200)^(10*12)-1)/($D$21/1200))*(1+$D$21/1200)*(1+(B24/100)*(10/2))</f>
        <v/>
      </c>
      <c r="D24" s="13">
        <f>A24*(((1+$D$21/1200)^(20*12)-1)/($D$21/1200))*(1+$D$21/1200)*(1+(B24/100)*(20/2))</f>
        <v/>
      </c>
      <c r="E24" s="13">
        <f>A24*(((1+$D$21/1200)^(30*12)-1)/($D$21/1200))*(1+$D$21/1200)*(1+(B24/100)*(30/2))</f>
        <v/>
      </c>
    </row>
    <row r="25" ht="17" customHeight="1">
      <c r="A25" s="8" t="n">
        <v>5000</v>
      </c>
      <c r="B25" s="9" t="n">
        <v>15</v>
      </c>
      <c r="C25" s="13">
        <f>A25*(((1+$D$21/1200)^(10*12)-1)/($D$21/1200))*(1+$D$21/1200)*(1+(B25/100)*(10/2))</f>
        <v/>
      </c>
      <c r="D25" s="13">
        <f>A25*(((1+$D$21/1200)^(20*12)-1)/($D$21/1200))*(1+$D$21/1200)*(1+(B25/100)*(20/2))</f>
        <v/>
      </c>
      <c r="E25" s="13">
        <f>A25*(((1+$D$21/1200)^(30*12)-1)/($D$21/1200))*(1+$D$21/1200)*(1+(B25/100)*(30/2))</f>
        <v/>
      </c>
    </row>
    <row r="26" ht="17" customHeight="1">
      <c r="A26" s="8" t="n">
        <v>10000</v>
      </c>
      <c r="B26" s="9" t="n">
        <v>0</v>
      </c>
      <c r="C26" s="13">
        <f>A26*(((1+$D$21/1200)^(10*12)-1)/($D$21/1200))*(1+$D$21/1200)*(1+(B26/100)*(10/2))</f>
        <v/>
      </c>
      <c r="D26" s="13">
        <f>A26*(((1+$D$21/1200)^(20*12)-1)/($D$21/1200))*(1+$D$21/1200)*(1+(B26/100)*(20/2))</f>
        <v/>
      </c>
      <c r="E26" s="13">
        <f>A26*(((1+$D$21/1200)^(30*12)-1)/($D$21/1200))*(1+$D$21/1200)*(1+(B26/100)*(30/2))</f>
        <v/>
      </c>
    </row>
    <row r="27" ht="17" customHeight="1">
      <c r="A27" s="8" t="n">
        <v>10000</v>
      </c>
      <c r="B27" s="9" t="n">
        <v>10</v>
      </c>
      <c r="C27" s="13">
        <f>A27*(((1+$D$21/1200)^(10*12)-1)/($D$21/1200))*(1+$D$21/1200)*(1+(B27/100)*(10/2))</f>
        <v/>
      </c>
      <c r="D27" s="13">
        <f>A27*(((1+$D$21/1200)^(20*12)-1)/($D$21/1200))*(1+$D$21/1200)*(1+(B27/100)*(20/2))</f>
        <v/>
      </c>
      <c r="E27" s="13">
        <f>A27*(((1+$D$21/1200)^(30*12)-1)/($D$21/1200))*(1+$D$21/1200)*(1+(B27/100)*(30/2))</f>
        <v/>
      </c>
    </row>
    <row r="28" ht="17" customHeight="1">
      <c r="A28" s="8" t="n">
        <v>10000</v>
      </c>
      <c r="B28" s="9" t="n">
        <v>15</v>
      </c>
      <c r="C28" s="13">
        <f>A28*(((1+$D$21/1200)^(10*12)-1)/($D$21/1200))*(1+$D$21/1200)*(1+(B28/100)*(10/2))</f>
        <v/>
      </c>
      <c r="D28" s="13">
        <f>A28*(((1+$D$21/1200)^(20*12)-1)/($D$21/1200))*(1+$D$21/1200)*(1+(B28/100)*(20/2))</f>
        <v/>
      </c>
      <c r="E28" s="13">
        <f>A28*(((1+$D$21/1200)^(30*12)-1)/($D$21/1200))*(1+$D$21/1200)*(1+(B28/100)*(30/2))</f>
        <v/>
      </c>
    </row>
    <row r="29" ht="17" customHeight="1">
      <c r="A29" s="8" t="n">
        <v>25000</v>
      </c>
      <c r="B29" s="9" t="n">
        <v>0</v>
      </c>
      <c r="C29" s="13">
        <f>A29*(((1+$D$21/1200)^(10*12)-1)/($D$21/1200))*(1+$D$21/1200)*(1+(B29/100)*(10/2))</f>
        <v/>
      </c>
      <c r="D29" s="13">
        <f>A29*(((1+$D$21/1200)^(20*12)-1)/($D$21/1200))*(1+$D$21/1200)*(1+(B29/100)*(20/2))</f>
        <v/>
      </c>
      <c r="E29" s="13">
        <f>A29*(((1+$D$21/1200)^(30*12)-1)/($D$21/1200))*(1+$D$21/1200)*(1+(B29/100)*(30/2))</f>
        <v/>
      </c>
    </row>
    <row r="30" ht="17" customHeight="1">
      <c r="A30" s="8" t="n">
        <v>25000</v>
      </c>
      <c r="B30" s="9" t="n">
        <v>10</v>
      </c>
      <c r="C30" s="13">
        <f>A30*(((1+$D$21/1200)^(10*12)-1)/($D$21/1200))*(1+$D$21/1200)*(1+(B30/100)*(10/2))</f>
        <v/>
      </c>
      <c r="D30" s="13">
        <f>A30*(((1+$D$21/1200)^(20*12)-1)/($D$21/1200))*(1+$D$21/1200)*(1+(B30/100)*(20/2))</f>
        <v/>
      </c>
      <c r="E30" s="13">
        <f>A30*(((1+$D$21/1200)^(30*12)-1)/($D$21/1200))*(1+$D$21/1200)*(1+(B30/100)*(30/2))</f>
        <v/>
      </c>
    </row>
    <row r="31" ht="17" customHeight="1">
      <c r="A31" s="8" t="n">
        <v>50000</v>
      </c>
      <c r="B31" s="9" t="n">
        <v>0</v>
      </c>
      <c r="C31" s="13">
        <f>A31*(((1+$D$21/1200)^(10*12)-1)/($D$21/1200))*(1+$D$21/1200)*(1+(B31/100)*(10/2))</f>
        <v/>
      </c>
      <c r="D31" s="13">
        <f>A31*(((1+$D$21/1200)^(20*12)-1)/($D$21/1200))*(1+$D$21/1200)*(1+(B31/100)*(20/2))</f>
        <v/>
      </c>
      <c r="E31" s="13">
        <f>A31*(((1+$D$21/1200)^(30*12)-1)/($D$21/1200))*(1+$D$21/1200)*(1+(B31/100)*(30/2))</f>
        <v/>
      </c>
    </row>
    <row r="32" ht="17" customHeight="1">
      <c r="A32" s="8" t="n">
        <v>50000</v>
      </c>
      <c r="B32" s="9" t="n">
        <v>10</v>
      </c>
      <c r="C32" s="13">
        <f>A32*(((1+$D$21/1200)^(10*12)-1)/($D$21/1200))*(1+$D$21/1200)*(1+(B32/100)*(10/2))</f>
        <v/>
      </c>
      <c r="D32" s="13">
        <f>A32*(((1+$D$21/1200)^(20*12)-1)/($D$21/1200))*(1+$D$21/1200)*(1+(B32/100)*(20/2))</f>
        <v/>
      </c>
      <c r="E32" s="13">
        <f>A32*(((1+$D$21/1200)^(30*12)-1)/($D$21/1200))*(1+$D$21/1200)*(1+(B32/100)*(30/2))</f>
        <v/>
      </c>
    </row>
    <row r="33" ht="17" customHeight="1">
      <c r="A33" s="8" t="n">
        <v>100000</v>
      </c>
      <c r="B33" s="9" t="n">
        <v>0</v>
      </c>
      <c r="C33" s="13">
        <f>A33*(((1+$D$21/1200)^(10*12)-1)/($D$21/1200))*(1+$D$21/1200)*(1+(B33/100)*(10/2))</f>
        <v/>
      </c>
      <c r="D33" s="13">
        <f>A33*(((1+$D$21/1200)^(20*12)-1)/($D$21/1200))*(1+$D$21/1200)*(1+(B33/100)*(20/2))</f>
        <v/>
      </c>
      <c r="E33" s="13">
        <f>A33*(((1+$D$21/1200)^(30*12)-1)/($D$21/1200))*(1+$D$21/1200)*(1+(B33/100)*(30/2))</f>
        <v/>
      </c>
    </row>
    <row r="34" ht="17" customHeight="1">
      <c r="A34" s="8" t="n">
        <v>100000</v>
      </c>
      <c r="B34" s="9" t="n">
        <v>10</v>
      </c>
      <c r="C34" s="13">
        <f>A34*(((1+$D$21/1200)^(10*12)-1)/($D$21/1200))*(1+$D$21/1200)*(1+(B34/100)*(10/2))</f>
        <v/>
      </c>
      <c r="D34" s="13">
        <f>A34*(((1+$D$21/1200)^(20*12)-1)/($D$21/1200))*(1+$D$21/1200)*(1+(B34/100)*(20/2))</f>
        <v/>
      </c>
      <c r="E34" s="13">
        <f>A34*(((1+$D$21/1200)^(30*12)-1)/($D$21/1200))*(1+$D$21/1200)*(1+(B34/100)*(30/2))</f>
        <v/>
      </c>
    </row>
    <row r="36" ht="20" customHeight="1">
      <c r="A36" s="2" t="inlineStr">
        <is>
          <t>💡 Change D21 to model returns of 10%, 12%, 15%, etc. and see how projected corpus changes.</t>
        </is>
      </c>
    </row>
  </sheetData>
  <mergeCells count="9">
    <mergeCell ref="A1:J1"/>
    <mergeCell ref="A36:J36"/>
    <mergeCell ref="A6:J6"/>
    <mergeCell ref="A3:J3"/>
    <mergeCell ref="A4:J4"/>
    <mergeCell ref="A20:J20"/>
    <mergeCell ref="A21:C21"/>
    <mergeCell ref="A2:J2"/>
    <mergeCell ref="E21:F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2026-06-13T19:50:20Z</dcterms:created>
  <dcterms:modified xmlns:dcterms="http://purl.org/dc/terms/" xmlns:xsi="http://www.w3.org/2001/XMLSchema-instance" xsi:type="dcterms:W3CDTF">2026-06-13T19:50:20Z</dcterms:modified>
</cp:coreProperties>
</file>